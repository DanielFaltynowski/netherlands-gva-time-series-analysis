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F3CC60E3-5EE3-7A43-912C-25597978A7C7}" xr6:coauthVersionLast="47" xr6:coauthVersionMax="47" xr10:uidLastSave="{00000000-0000-0000-0000-000000000000}"/>
  <bookViews>
    <workbookView xWindow="380" yWindow="500" windowWidth="28040" windowHeight="16940" activeTab="3" xr2:uid="{C63F3EB8-08D2-414D-8217-7DA2F26F8F2E}"/>
  </bookViews>
  <sheets>
    <sheet name="01 Removing Trend and Season" sheetId="1" r:id="rId1"/>
    <sheet name="02 Constant Prices" sheetId="4" r:id="rId2"/>
    <sheet name="02 GVA Const 2020 in Const 2016" sheetId="5" r:id="rId3"/>
    <sheet name="02 GVA Const 2020 in Const 2024" sheetId="6" r:id="rId4"/>
  </sheets>
  <definedNames>
    <definedName name="solver_adj" localSheetId="1" hidden="1">'02 Constant Prices'!$G$38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opt" localSheetId="1" hidden="1">'02 Constant Prices'!$K$6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6" l="1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I6" i="6"/>
  <c r="E6" i="6"/>
  <c r="I3" i="6" s="1"/>
  <c r="E5" i="6"/>
  <c r="I4" i="6"/>
  <c r="E4" i="6"/>
  <c r="I5" i="6" s="1"/>
  <c r="E3" i="6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I6" i="5" s="1"/>
  <c r="E8" i="5"/>
  <c r="E7" i="5"/>
  <c r="E6" i="5"/>
  <c r="E5" i="5"/>
  <c r="E4" i="5"/>
  <c r="I5" i="5" s="1"/>
  <c r="I3" i="5"/>
  <c r="E3" i="5"/>
  <c r="I4" i="5" s="1"/>
  <c r="F5" i="4"/>
  <c r="F7" i="4"/>
  <c r="F8" i="4" s="1"/>
  <c r="F9" i="4" s="1"/>
  <c r="F10" i="4" s="1"/>
  <c r="K5" i="4"/>
  <c r="K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G3" i="4" s="1"/>
  <c r="G2" i="4" s="1"/>
  <c r="E39" i="4"/>
  <c r="G39" i="4" s="1"/>
  <c r="E40" i="4"/>
  <c r="E41" i="4"/>
  <c r="E42" i="4"/>
  <c r="E43" i="4"/>
  <c r="E3" i="4"/>
  <c r="F11" i="4" l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" i="4"/>
  <c r="F3" i="4" s="1"/>
  <c r="F2" i="4" s="1"/>
  <c r="I8" i="6"/>
  <c r="J3" i="6" s="1"/>
  <c r="J5" i="6"/>
  <c r="F20" i="6" s="1"/>
  <c r="J4" i="6"/>
  <c r="F31" i="6" s="1"/>
  <c r="I8" i="5"/>
  <c r="J3" i="5" s="1"/>
  <c r="G40" i="4"/>
  <c r="G41" i="4" s="1"/>
  <c r="G42" i="4" s="1"/>
  <c r="G43" i="4" s="1"/>
  <c r="K3" i="4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J6" i="6" l="1"/>
  <c r="J8" i="6" s="1"/>
  <c r="F11" i="6"/>
  <c r="J5" i="5"/>
  <c r="F8" i="5" s="1"/>
  <c r="F18" i="6"/>
  <c r="F22" i="6"/>
  <c r="F42" i="6"/>
  <c r="F10" i="6"/>
  <c r="F26" i="6"/>
  <c r="F34" i="6"/>
  <c r="F30" i="6"/>
  <c r="F6" i="6"/>
  <c r="F14" i="6"/>
  <c r="F38" i="6"/>
  <c r="F28" i="6"/>
  <c r="F21" i="6"/>
  <c r="F32" i="6"/>
  <c r="F41" i="6"/>
  <c r="F12" i="6"/>
  <c r="F37" i="6"/>
  <c r="F25" i="6"/>
  <c r="F5" i="6"/>
  <c r="F24" i="6"/>
  <c r="F35" i="6"/>
  <c r="F16" i="6"/>
  <c r="F27" i="6"/>
  <c r="F7" i="6"/>
  <c r="F39" i="6"/>
  <c r="F40" i="6"/>
  <c r="F36" i="6"/>
  <c r="F33" i="6"/>
  <c r="F9" i="6"/>
  <c r="F4" i="6"/>
  <c r="F43" i="6"/>
  <c r="F8" i="6"/>
  <c r="F3" i="6"/>
  <c r="F15" i="6"/>
  <c r="F19" i="6"/>
  <c r="F23" i="6"/>
  <c r="F30" i="5"/>
  <c r="F6" i="5"/>
  <c r="F26" i="5"/>
  <c r="F18" i="5"/>
  <c r="F14" i="5"/>
  <c r="F10" i="5"/>
  <c r="F38" i="5"/>
  <c r="F34" i="5"/>
  <c r="F22" i="5"/>
  <c r="F42" i="5"/>
  <c r="F28" i="5"/>
  <c r="F24" i="5"/>
  <c r="F4" i="5"/>
  <c r="F20" i="5"/>
  <c r="F32" i="5"/>
  <c r="F16" i="5"/>
  <c r="F36" i="5"/>
  <c r="F12" i="5"/>
  <c r="F40" i="5"/>
  <c r="J4" i="5"/>
  <c r="J8" i="5" s="1"/>
  <c r="J6" i="5"/>
  <c r="K6" i="4"/>
  <c r="I3" i="1"/>
  <c r="I6" i="1"/>
  <c r="I4" i="1"/>
  <c r="I5" i="1"/>
  <c r="F17" i="6" l="1"/>
  <c r="F29" i="6"/>
  <c r="F13" i="6"/>
  <c r="F9" i="5"/>
  <c r="F5" i="5"/>
  <c r="F13" i="5"/>
  <c r="F33" i="5"/>
  <c r="F25" i="5"/>
  <c r="F17" i="5"/>
  <c r="F29" i="5"/>
  <c r="F21" i="5"/>
  <c r="F37" i="5"/>
  <c r="F41" i="5"/>
  <c r="F7" i="5"/>
  <c r="F3" i="5"/>
  <c r="F15" i="5"/>
  <c r="F27" i="5"/>
  <c r="F35" i="5"/>
  <c r="F23" i="5"/>
  <c r="F39" i="5"/>
  <c r="F11" i="5"/>
  <c r="F31" i="5"/>
  <c r="F19" i="5"/>
  <c r="F43" i="5"/>
  <c r="I8" i="1"/>
  <c r="J5" i="1" s="1"/>
  <c r="J6" i="1" l="1"/>
  <c r="J4" i="1"/>
  <c r="F32" i="1"/>
  <c r="F40" i="1"/>
  <c r="F4" i="1"/>
  <c r="F24" i="1"/>
  <c r="F16" i="1"/>
  <c r="F36" i="1"/>
  <c r="F28" i="1"/>
  <c r="F20" i="1"/>
  <c r="F12" i="1"/>
  <c r="F8" i="1"/>
  <c r="J3" i="1"/>
  <c r="F11" i="1" l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sharedStrings.xml><?xml version="1.0" encoding="utf-8"?>
<sst xmlns="http://schemas.openxmlformats.org/spreadsheetml/2006/main" count="212" uniqueCount="60">
  <si>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</si>
  <si>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</si>
  <si>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</si>
  <si>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</si>
  <si>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</si>
  <si>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</si>
  <si>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</si>
  <si>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</si>
  <si>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</si>
  <si>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</si>
  <si>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</si>
  <si>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</si>
  <si>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</si>
  <si>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</si>
  <si>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</si>
  <si>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</si>
  <si>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</si>
  <si>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</si>
  <si>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</si>
  <si>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</si>
  <si>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</si>
  <si>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</si>
  <si>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</si>
  <si>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</si>
  <si>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</si>
  <si>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</si>
  <si>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</si>
  <si>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</si>
  <si>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</si>
  <si>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</si>
  <si>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</si>
  <si>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</si>
  <si>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</si>
  <si>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</si>
  <si>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</si>
  <si>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</si>
  <si>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</si>
  <si>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</si>
  <si>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</si>
  <si>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</si>
  <si>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</si>
  <si>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</si>
  <si>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</si>
  <si>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</si>
  <si>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</si>
  <si>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gva_{t} - gva_{t-1}</t>
  </si>
  <si>
    <t>indicators</t>
  </si>
  <si>
    <t>raw</t>
  </si>
  <si>
    <t>cleaned</t>
  </si>
  <si>
    <t>average</t>
  </si>
  <si>
    <t>t</t>
  </si>
  <si>
    <t>(gva_{t} - gva_{t-1})-indicatorsCleaned_{q}</t>
  </si>
  <si>
    <t>chainIndex</t>
  </si>
  <si>
    <t>gvaConst2020</t>
  </si>
  <si>
    <t>Netherlands GVA in current prices in 2024</t>
  </si>
  <si>
    <t>Netherlands GVA in current prices in 2016</t>
  </si>
  <si>
    <t>gva_{2024} - \sum_{q=2024-Q1}^{2024-Q4}{gvaConst2020InConst2024_{q}}</t>
  </si>
  <si>
    <t>gva_{2016} - \sum_{q=2016-Q1}^{2016-Q4}{gvaConst2020InCont2016_{q}}</t>
  </si>
  <si>
    <t>gvaConst2020InConst2016</t>
  </si>
  <si>
    <t>gvaConst2020InConst2024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</si>
</sst>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Current 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Season'!$D$3:$D$43</c:f>
              <c:numCache>
                <c:formatCode>0</c:formatCode>
                <c:ptCount val="41"/>
                <c:pt idx="0">
                  <c:v>159663</c:v>
                </c:pt>
                <c:pt idx="1">
                  <c:v>155573</c:v>
                </c:pt>
                <c:pt idx="2">
                  <c:v>161574</c:v>
                </c:pt>
                <c:pt idx="3">
                  <c:v>154922</c:v>
                </c:pt>
                <c:pt idx="4">
                  <c:v>164049</c:v>
                </c:pt>
                <c:pt idx="5">
                  <c:v>159126</c:v>
                </c:pt>
                <c:pt idx="6">
                  <c:v>166215</c:v>
                </c:pt>
                <c:pt idx="7">
                  <c:v>161419</c:v>
                </c:pt>
                <c:pt idx="8">
                  <c:v>171164</c:v>
                </c:pt>
                <c:pt idx="9">
                  <c:v>166103</c:v>
                </c:pt>
                <c:pt idx="10">
                  <c:v>173248</c:v>
                </c:pt>
                <c:pt idx="11">
                  <c:v>170056</c:v>
                </c:pt>
                <c:pt idx="12">
                  <c:v>179008</c:v>
                </c:pt>
                <c:pt idx="13">
                  <c:v>173652</c:v>
                </c:pt>
                <c:pt idx="14">
                  <c:v>180841</c:v>
                </c:pt>
                <c:pt idx="15">
                  <c:v>178780</c:v>
                </c:pt>
                <c:pt idx="16">
                  <c:v>188735</c:v>
                </c:pt>
                <c:pt idx="17">
                  <c:v>182497</c:v>
                </c:pt>
                <c:pt idx="18">
                  <c:v>189496</c:v>
                </c:pt>
                <c:pt idx="19">
                  <c:v>182537</c:v>
                </c:pt>
                <c:pt idx="20">
                  <c:v>175396</c:v>
                </c:pt>
                <c:pt idx="21">
                  <c:v>179815</c:v>
                </c:pt>
                <c:pt idx="22">
                  <c:v>188401</c:v>
                </c:pt>
                <c:pt idx="23">
                  <c:v>183940</c:v>
                </c:pt>
                <c:pt idx="24">
                  <c:v>201433</c:v>
                </c:pt>
                <c:pt idx="25">
                  <c:v>198942</c:v>
                </c:pt>
                <c:pt idx="26">
                  <c:v>207415</c:v>
                </c:pt>
                <c:pt idx="27">
                  <c:v>209214</c:v>
                </c:pt>
                <c:pt idx="28">
                  <c:v>224204</c:v>
                </c:pt>
                <c:pt idx="29">
                  <c:v>221953</c:v>
                </c:pt>
                <c:pt idx="30">
                  <c:v>232803</c:v>
                </c:pt>
                <c:pt idx="31">
                  <c:v>228660</c:v>
                </c:pt>
                <c:pt idx="32">
                  <c:v>239816</c:v>
                </c:pt>
                <c:pt idx="33">
                  <c:v>233082</c:v>
                </c:pt>
                <c:pt idx="34">
                  <c:v>243243</c:v>
                </c:pt>
                <c:pt idx="35">
                  <c:v>241862</c:v>
                </c:pt>
                <c:pt idx="36">
                  <c:v>255757</c:v>
                </c:pt>
                <c:pt idx="37">
                  <c:v>248625</c:v>
                </c:pt>
                <c:pt idx="38">
                  <c:v>261094</c:v>
                </c:pt>
                <c:pt idx="39">
                  <c:v>254235</c:v>
                </c:pt>
                <c:pt idx="40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D-E643-ABBB-CBEBCD318E90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Season'!$E$3:$E$43</c:f>
              <c:numCache>
                <c:formatCode>0</c:formatCode>
                <c:ptCount val="41"/>
                <c:pt idx="0">
                  <c:v>8847</c:v>
                </c:pt>
                <c:pt idx="1">
                  <c:v>-4090</c:v>
                </c:pt>
                <c:pt idx="2">
                  <c:v>6001</c:v>
                </c:pt>
                <c:pt idx="3">
                  <c:v>-6652</c:v>
                </c:pt>
                <c:pt idx="4">
                  <c:v>9127</c:v>
                </c:pt>
                <c:pt idx="5">
                  <c:v>-4923</c:v>
                </c:pt>
                <c:pt idx="6">
                  <c:v>7089</c:v>
                </c:pt>
                <c:pt idx="7">
                  <c:v>-4796</c:v>
                </c:pt>
                <c:pt idx="8">
                  <c:v>9745</c:v>
                </c:pt>
                <c:pt idx="9">
                  <c:v>-5061</c:v>
                </c:pt>
                <c:pt idx="10">
                  <c:v>7145</c:v>
                </c:pt>
                <c:pt idx="11">
                  <c:v>-3192</c:v>
                </c:pt>
                <c:pt idx="12">
                  <c:v>8952</c:v>
                </c:pt>
                <c:pt idx="13">
                  <c:v>-5356</c:v>
                </c:pt>
                <c:pt idx="14">
                  <c:v>7189</c:v>
                </c:pt>
                <c:pt idx="15">
                  <c:v>-2061</c:v>
                </c:pt>
                <c:pt idx="16">
                  <c:v>9955</c:v>
                </c:pt>
                <c:pt idx="17">
                  <c:v>-6238</c:v>
                </c:pt>
                <c:pt idx="18">
                  <c:v>6999</c:v>
                </c:pt>
                <c:pt idx="19">
                  <c:v>-6959</c:v>
                </c:pt>
                <c:pt idx="20">
                  <c:v>-7141</c:v>
                </c:pt>
                <c:pt idx="21">
                  <c:v>4419</c:v>
                </c:pt>
                <c:pt idx="22">
                  <c:v>8586</c:v>
                </c:pt>
                <c:pt idx="23">
                  <c:v>-4461</c:v>
                </c:pt>
                <c:pt idx="24">
                  <c:v>17493</c:v>
                </c:pt>
                <c:pt idx="25">
                  <c:v>-2491</c:v>
                </c:pt>
                <c:pt idx="26">
                  <c:v>8473</c:v>
                </c:pt>
                <c:pt idx="27">
                  <c:v>1799</c:v>
                </c:pt>
                <c:pt idx="28">
                  <c:v>14990</c:v>
                </c:pt>
                <c:pt idx="29">
                  <c:v>-2251</c:v>
                </c:pt>
                <c:pt idx="30">
                  <c:v>10850</c:v>
                </c:pt>
                <c:pt idx="31">
                  <c:v>-4143</c:v>
                </c:pt>
                <c:pt idx="32">
                  <c:v>11156</c:v>
                </c:pt>
                <c:pt idx="33">
                  <c:v>-6734</c:v>
                </c:pt>
                <c:pt idx="34">
                  <c:v>10161</c:v>
                </c:pt>
                <c:pt idx="35">
                  <c:v>-1381</c:v>
                </c:pt>
                <c:pt idx="36">
                  <c:v>13895</c:v>
                </c:pt>
                <c:pt idx="37">
                  <c:v>-7132</c:v>
                </c:pt>
                <c:pt idx="38">
                  <c:v>12469</c:v>
                </c:pt>
                <c:pt idx="39">
                  <c:v>-6859</c:v>
                </c:pt>
                <c:pt idx="40">
                  <c:v>15085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3D-E643-ABBB-CBEBCD318E90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Season'!$F$3:$F$43</c:f>
              <c:numCache>
                <c:formatCode>0.00</c:formatCode>
                <c:ptCount val="41"/>
                <c:pt idx="0">
                  <c:v>1363.545454545454</c:v>
                </c:pt>
                <c:pt idx="1">
                  <c:v>2603.5181818181818</c:v>
                </c:pt>
                <c:pt idx="2">
                  <c:v>212.61818181818126</c:v>
                </c:pt>
                <c:pt idx="3">
                  <c:v>-73.681818181818016</c:v>
                </c:pt>
                <c:pt idx="4">
                  <c:v>1643.545454545454</c:v>
                </c:pt>
                <c:pt idx="5">
                  <c:v>1770.5181818181818</c:v>
                </c:pt>
                <c:pt idx="6">
                  <c:v>1300.6181818181813</c:v>
                </c:pt>
                <c:pt idx="7">
                  <c:v>1782.318181818182</c:v>
                </c:pt>
                <c:pt idx="8">
                  <c:v>2261.545454545454</c:v>
                </c:pt>
                <c:pt idx="9">
                  <c:v>1632.5181818181818</c:v>
                </c:pt>
                <c:pt idx="10">
                  <c:v>1356.6181818181813</c:v>
                </c:pt>
                <c:pt idx="11">
                  <c:v>3386.318181818182</c:v>
                </c:pt>
                <c:pt idx="12">
                  <c:v>1468.545454545454</c:v>
                </c:pt>
                <c:pt idx="13">
                  <c:v>1337.5181818181818</c:v>
                </c:pt>
                <c:pt idx="14">
                  <c:v>1400.6181818181813</c:v>
                </c:pt>
                <c:pt idx="15">
                  <c:v>4517.318181818182</c:v>
                </c:pt>
                <c:pt idx="16">
                  <c:v>2471.545454545454</c:v>
                </c:pt>
                <c:pt idx="17">
                  <c:v>455.5181818181818</c:v>
                </c:pt>
                <c:pt idx="18">
                  <c:v>1210.6181818181813</c:v>
                </c:pt>
                <c:pt idx="19">
                  <c:v>-380.68181818181802</c:v>
                </c:pt>
                <c:pt idx="20">
                  <c:v>-14624.454545454546</c:v>
                </c:pt>
                <c:pt idx="21">
                  <c:v>11112.518181818181</c:v>
                </c:pt>
                <c:pt idx="22">
                  <c:v>2797.6181818181813</c:v>
                </c:pt>
                <c:pt idx="23">
                  <c:v>2117.318181818182</c:v>
                </c:pt>
                <c:pt idx="24">
                  <c:v>10009.545454545454</c:v>
                </c:pt>
                <c:pt idx="25">
                  <c:v>4202.5181818181818</c:v>
                </c:pt>
                <c:pt idx="26">
                  <c:v>2684.6181818181813</c:v>
                </c:pt>
                <c:pt idx="27">
                  <c:v>8377.318181818182</c:v>
                </c:pt>
                <c:pt idx="28">
                  <c:v>7506.545454545454</c:v>
                </c:pt>
                <c:pt idx="29">
                  <c:v>4442.5181818181818</c:v>
                </c:pt>
                <c:pt idx="30">
                  <c:v>5061.6181818181813</c:v>
                </c:pt>
                <c:pt idx="31">
                  <c:v>2435.318181818182</c:v>
                </c:pt>
                <c:pt idx="32">
                  <c:v>3672.545454545454</c:v>
                </c:pt>
                <c:pt idx="33">
                  <c:v>-40.481818181818198</c:v>
                </c:pt>
                <c:pt idx="34">
                  <c:v>4372.6181818181813</c:v>
                </c:pt>
                <c:pt idx="35">
                  <c:v>5197.318181818182</c:v>
                </c:pt>
                <c:pt idx="36">
                  <c:v>6411.545454545454</c:v>
                </c:pt>
                <c:pt idx="37">
                  <c:v>-438.4818181818182</c:v>
                </c:pt>
                <c:pt idx="38">
                  <c:v>6680.6181818181813</c:v>
                </c:pt>
                <c:pt idx="39">
                  <c:v>-280.68181818181802</c:v>
                </c:pt>
                <c:pt idx="40">
                  <c:v>7601.545454545454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3D-E643-ABBB-CBEBCD318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 in Constant</a:t>
            </a:r>
            <a:r>
              <a:rPr lang="en-GB" b="1" baseline="0">
                <a:solidFill>
                  <a:schemeClr val="tx1"/>
                </a:solidFill>
              </a:rPr>
              <a:t> Prices 2016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2016'!$D$3:$D$43</c:f>
              <c:numCache>
                <c:formatCode>0.00</c:formatCode>
                <c:ptCount val="41"/>
                <c:pt idx="0">
                  <c:v>161513.25366654154</c:v>
                </c:pt>
                <c:pt idx="1">
                  <c:v>155677.23181009715</c:v>
                </c:pt>
                <c:pt idx="2">
                  <c:v>160606.15269116178</c:v>
                </c:pt>
                <c:pt idx="3">
                  <c:v>155594.5182706881</c:v>
                </c:pt>
                <c:pt idx="4">
                  <c:v>165490.19025626802</c:v>
                </c:pt>
                <c:pt idx="5">
                  <c:v>159100.91283168335</c:v>
                </c:pt>
                <c:pt idx="6">
                  <c:v>164126.37864136056</c:v>
                </c:pt>
                <c:pt idx="7">
                  <c:v>160369.00390541423</c:v>
                </c:pt>
                <c:pt idx="8">
                  <c:v>170204.12921375231</c:v>
                </c:pt>
                <c:pt idx="9">
                  <c:v>163404.21524745025</c:v>
                </c:pt>
                <c:pt idx="10">
                  <c:v>168292.83274275632</c:v>
                </c:pt>
                <c:pt idx="11">
                  <c:v>164111.81446332508</c:v>
                </c:pt>
                <c:pt idx="12">
                  <c:v>174628.34178679492</c:v>
                </c:pt>
                <c:pt idx="13">
                  <c:v>166744.35834219141</c:v>
                </c:pt>
                <c:pt idx="14">
                  <c:v>171442.54233978826</c:v>
                </c:pt>
                <c:pt idx="15">
                  <c:v>168101.30006179912</c:v>
                </c:pt>
                <c:pt idx="16">
                  <c:v>178613.98024390108</c:v>
                </c:pt>
                <c:pt idx="17">
                  <c:v>170906.96530221929</c:v>
                </c:pt>
                <c:pt idx="18">
                  <c:v>175487.6282908883</c:v>
                </c:pt>
                <c:pt idx="19">
                  <c:v>167682.694441534</c:v>
                </c:pt>
                <c:pt idx="20">
                  <c:v>162710.3558221749</c:v>
                </c:pt>
                <c:pt idx="21">
                  <c:v>164442.48542375327</c:v>
                </c:pt>
                <c:pt idx="22">
                  <c:v>170306.81124883259</c:v>
                </c:pt>
                <c:pt idx="23">
                  <c:v>165839.73052911952</c:v>
                </c:pt>
                <c:pt idx="24">
                  <c:v>182515.16478812223</c:v>
                </c:pt>
                <c:pt idx="25">
                  <c:v>177232.49009842222</c:v>
                </c:pt>
                <c:pt idx="26">
                  <c:v>184029.01491637639</c:v>
                </c:pt>
                <c:pt idx="27">
                  <c:v>178781.2392947991</c:v>
                </c:pt>
                <c:pt idx="28">
                  <c:v>193683.78257344489</c:v>
                </c:pt>
                <c:pt idx="29">
                  <c:v>184832.9758636558</c:v>
                </c:pt>
                <c:pt idx="30">
                  <c:v>192620.78077406273</c:v>
                </c:pt>
                <c:pt idx="31">
                  <c:v>181072.21197936163</c:v>
                </c:pt>
                <c:pt idx="32">
                  <c:v>192204.64831610557</c:v>
                </c:pt>
                <c:pt idx="33">
                  <c:v>182115.79487469653</c:v>
                </c:pt>
                <c:pt idx="34">
                  <c:v>190337.31917502801</c:v>
                </c:pt>
                <c:pt idx="35">
                  <c:v>180627.77555276945</c:v>
                </c:pt>
                <c:pt idx="36">
                  <c:v>194186.84210659502</c:v>
                </c:pt>
                <c:pt idx="37">
                  <c:v>185186.18008066725</c:v>
                </c:pt>
                <c:pt idx="38">
                  <c:v>193903.06963141309</c:v>
                </c:pt>
                <c:pt idx="39">
                  <c:v>184694.47877441274</c:v>
                </c:pt>
                <c:pt idx="40">
                  <c:v>197610.33993097322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9A-0344-9AAF-EB9050D1DF3B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2016'!$E$3:$E$43</c:f>
              <c:numCache>
                <c:formatCode>0</c:formatCode>
                <c:ptCount val="41"/>
                <c:pt idx="0">
                  <c:v>9146.1206090745691</c:v>
                </c:pt>
                <c:pt idx="1">
                  <c:v>-5836.0218564443931</c:v>
                </c:pt>
                <c:pt idx="2">
                  <c:v>4928.9208810646378</c:v>
                </c:pt>
                <c:pt idx="3">
                  <c:v>-5011.6344204736815</c:v>
                </c:pt>
                <c:pt idx="4">
                  <c:v>9895.6719855799165</c:v>
                </c:pt>
                <c:pt idx="5">
                  <c:v>-6389.2774245846667</c:v>
                </c:pt>
                <c:pt idx="6">
                  <c:v>5025.4658096772037</c:v>
                </c:pt>
                <c:pt idx="7">
                  <c:v>-3757.3747359463305</c:v>
                </c:pt>
                <c:pt idx="8">
                  <c:v>9835.1253083380871</c:v>
                </c:pt>
                <c:pt idx="9">
                  <c:v>-6799.9139663020615</c:v>
                </c:pt>
                <c:pt idx="10">
                  <c:v>4888.617495306069</c:v>
                </c:pt>
                <c:pt idx="11">
                  <c:v>-4181.0182794312423</c:v>
                </c:pt>
                <c:pt idx="12">
                  <c:v>10516.52732346984</c:v>
                </c:pt>
                <c:pt idx="13">
                  <c:v>-7883.9834446035093</c:v>
                </c:pt>
                <c:pt idx="14">
                  <c:v>4698.1839975968469</c:v>
                </c:pt>
                <c:pt idx="15">
                  <c:v>-3341.2422779891349</c:v>
                </c:pt>
                <c:pt idx="16">
                  <c:v>10512.680182101962</c:v>
                </c:pt>
                <c:pt idx="17">
                  <c:v>-7707.0149416817876</c:v>
                </c:pt>
                <c:pt idx="18">
                  <c:v>4580.6629886690062</c:v>
                </c:pt>
                <c:pt idx="19">
                  <c:v>-7804.9338493543037</c:v>
                </c:pt>
                <c:pt idx="20">
                  <c:v>-4972.3386193590995</c:v>
                </c:pt>
                <c:pt idx="21">
                  <c:v>1732.1296015783737</c:v>
                </c:pt>
                <c:pt idx="22">
                  <c:v>5864.3258250793151</c:v>
                </c:pt>
                <c:pt idx="23">
                  <c:v>-4467.0807197130634</c:v>
                </c:pt>
                <c:pt idx="24">
                  <c:v>16675.434259002708</c:v>
                </c:pt>
                <c:pt idx="25">
                  <c:v>-5282.6746897000121</c:v>
                </c:pt>
                <c:pt idx="26">
                  <c:v>6796.5248179541668</c:v>
                </c:pt>
                <c:pt idx="27">
                  <c:v>-5247.7756215772824</c:v>
                </c:pt>
                <c:pt idx="28">
                  <c:v>14902.543278645782</c:v>
                </c:pt>
                <c:pt idx="29">
                  <c:v>-8850.8067097890889</c:v>
                </c:pt>
                <c:pt idx="30">
                  <c:v>7787.804910406936</c:v>
                </c:pt>
                <c:pt idx="31">
                  <c:v>-11548.568794701103</c:v>
                </c:pt>
                <c:pt idx="32">
                  <c:v>11132.436336743936</c:v>
                </c:pt>
                <c:pt idx="33">
                  <c:v>-10088.853441409039</c:v>
                </c:pt>
                <c:pt idx="34">
                  <c:v>8221.5243003314827</c:v>
                </c:pt>
                <c:pt idx="35">
                  <c:v>-9709.5436222585558</c:v>
                </c:pt>
                <c:pt idx="36">
                  <c:v>13559.066553825571</c:v>
                </c:pt>
                <c:pt idx="37">
                  <c:v>-9000.6620259277697</c:v>
                </c:pt>
                <c:pt idx="38">
                  <c:v>8716.8895507458365</c:v>
                </c:pt>
                <c:pt idx="39">
                  <c:v>-9208.5908570003521</c:v>
                </c:pt>
                <c:pt idx="40">
                  <c:v>12915.861156560481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9A-0344-9AAF-EB9050D1DF3B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2016'!$F$3:$F$43</c:f>
              <c:numCache>
                <c:formatCode>0.00</c:formatCode>
                <c:ptCount val="41"/>
                <c:pt idx="0">
                  <c:v>-356.62709029989674</c:v>
                </c:pt>
                <c:pt idx="1">
                  <c:v>1646.4045498842406</c:v>
                </c:pt>
                <c:pt idx="2">
                  <c:v>-350.25266017627291</c:v>
                </c:pt>
                <c:pt idx="3">
                  <c:v>2287.8604138130613</c:v>
                </c:pt>
                <c:pt idx="4">
                  <c:v>392.9242862054507</c:v>
                </c:pt>
                <c:pt idx="5">
                  <c:v>1093.1489817439669</c:v>
                </c:pt>
                <c:pt idx="6">
                  <c:v>-253.70773156370706</c:v>
                </c:pt>
                <c:pt idx="7">
                  <c:v>3542.1200983404124</c:v>
                </c:pt>
                <c:pt idx="8">
                  <c:v>332.37760896362124</c:v>
                </c:pt>
                <c:pt idx="9">
                  <c:v>682.51244002657222</c:v>
                </c:pt>
                <c:pt idx="10">
                  <c:v>-390.55604593484168</c:v>
                </c:pt>
                <c:pt idx="11">
                  <c:v>3118.4765548555006</c:v>
                </c:pt>
                <c:pt idx="12">
                  <c:v>1013.7796240953739</c:v>
                </c:pt>
                <c:pt idx="13">
                  <c:v>-401.55703827487559</c:v>
                </c:pt>
                <c:pt idx="14">
                  <c:v>-580.98954364406382</c:v>
                </c:pt>
                <c:pt idx="15">
                  <c:v>3958.252556297608</c:v>
                </c:pt>
                <c:pt idx="16">
                  <c:v>1009.9324827274959</c:v>
                </c:pt>
                <c:pt idx="17">
                  <c:v>-224.58853535315393</c:v>
                </c:pt>
                <c:pt idx="18">
                  <c:v>-698.51055257190455</c:v>
                </c:pt>
                <c:pt idx="19">
                  <c:v>-505.43901506756083</c:v>
                </c:pt>
                <c:pt idx="20">
                  <c:v>-14475.086318733565</c:v>
                </c:pt>
                <c:pt idx="21">
                  <c:v>9214.5560079070074</c:v>
                </c:pt>
                <c:pt idx="22">
                  <c:v>585.1522838384044</c:v>
                </c:pt>
                <c:pt idx="23">
                  <c:v>2832.4141145736794</c:v>
                </c:pt>
                <c:pt idx="24">
                  <c:v>7172.6865596282423</c:v>
                </c:pt>
                <c:pt idx="25">
                  <c:v>2199.7517166286216</c:v>
                </c:pt>
                <c:pt idx="26">
                  <c:v>1517.3512767132561</c:v>
                </c:pt>
                <c:pt idx="27">
                  <c:v>2051.7192127094604</c:v>
                </c:pt>
                <c:pt idx="28">
                  <c:v>5399.7955792713165</c:v>
                </c:pt>
                <c:pt idx="29">
                  <c:v>-1368.3803034604553</c:v>
                </c:pt>
                <c:pt idx="30">
                  <c:v>2508.6313691660253</c:v>
                </c:pt>
                <c:pt idx="31">
                  <c:v>-4249.07396041436</c:v>
                </c:pt>
                <c:pt idx="32">
                  <c:v>1629.6886373694706</c:v>
                </c:pt>
                <c:pt idx="33">
                  <c:v>-2606.4270350804054</c:v>
                </c:pt>
                <c:pt idx="34">
                  <c:v>2942.350759090572</c:v>
                </c:pt>
                <c:pt idx="35">
                  <c:v>-2410.048787971813</c:v>
                </c:pt>
                <c:pt idx="36">
                  <c:v>4056.3188544511049</c:v>
                </c:pt>
                <c:pt idx="37">
                  <c:v>-1518.235619599136</c:v>
                </c:pt>
                <c:pt idx="38">
                  <c:v>3437.7160095049258</c:v>
                </c:pt>
                <c:pt idx="39">
                  <c:v>-1909.0960227136093</c:v>
                </c:pt>
                <c:pt idx="40">
                  <c:v>3413.1134571860148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9A-0344-9AAF-EB9050D1D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2">
                    <a:lumMod val="90000"/>
                    <a:lumOff val="10000"/>
                  </a:schemeClr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Added Value in Constant Prices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2024'!$D$3:$D$43</c:f>
              <c:numCache>
                <c:formatCode>0.00</c:formatCode>
                <c:ptCount val="41"/>
                <c:pt idx="0">
                  <c:v>215808.01816164039</c:v>
                </c:pt>
                <c:pt idx="1">
                  <c:v>208010.14224622143</c:v>
                </c:pt>
                <c:pt idx="2">
                  <c:v>214595.98348754883</c:v>
                </c:pt>
                <c:pt idx="3">
                  <c:v>207899.62348314916</c:v>
                </c:pt>
                <c:pt idx="4">
                  <c:v>221121.85330705406</c:v>
                </c:pt>
                <c:pt idx="5">
                  <c:v>212584.73782468442</c:v>
                </c:pt>
                <c:pt idx="6">
                  <c:v>219299.57881825787</c:v>
                </c:pt>
                <c:pt idx="7">
                  <c:v>214279.11407714561</c:v>
                </c:pt>
                <c:pt idx="8">
                  <c:v>227420.44367691904</c:v>
                </c:pt>
                <c:pt idx="9">
                  <c:v>218334.65088020501</c:v>
                </c:pt>
                <c:pt idx="10">
                  <c:v>224866.64023254925</c:v>
                </c:pt>
                <c:pt idx="11">
                  <c:v>219280.11870382988</c:v>
                </c:pt>
                <c:pt idx="12">
                  <c:v>233331.91239938911</c:v>
                </c:pt>
                <c:pt idx="13">
                  <c:v>222797.62617968474</c:v>
                </c:pt>
                <c:pt idx="14">
                  <c:v>229075.16535658354</c:v>
                </c:pt>
                <c:pt idx="15">
                  <c:v>224610.72136922245</c:v>
                </c:pt>
                <c:pt idx="16">
                  <c:v>238657.37465719692</c:v>
                </c:pt>
                <c:pt idx="17">
                  <c:v>228359.54718639137</c:v>
                </c:pt>
                <c:pt idx="18">
                  <c:v>234480.05915064149</c:v>
                </c:pt>
                <c:pt idx="19">
                  <c:v>224051.39606773821</c:v>
                </c:pt>
                <c:pt idx="20">
                  <c:v>217407.54165509713</c:v>
                </c:pt>
                <c:pt idx="21">
                  <c:v>219721.94897480539</c:v>
                </c:pt>
                <c:pt idx="22">
                  <c:v>227557.6436031693</c:v>
                </c:pt>
                <c:pt idx="23">
                  <c:v>221588.89605332626</c:v>
                </c:pt>
                <c:pt idx="24">
                  <c:v>243869.99272945363</c:v>
                </c:pt>
                <c:pt idx="25">
                  <c:v>236811.4787716422</c:v>
                </c:pt>
                <c:pt idx="26">
                  <c:v>245892.74311405534</c:v>
                </c:pt>
                <c:pt idx="27">
                  <c:v>238880.85999647703</c:v>
                </c:pt>
                <c:pt idx="28">
                  <c:v>258793.08551062905</c:v>
                </c:pt>
                <c:pt idx="29">
                  <c:v>246966.96590861265</c:v>
                </c:pt>
                <c:pt idx="30">
                  <c:v>257372.74193869813</c:v>
                </c:pt>
                <c:pt idx="31">
                  <c:v>241941.97271319959</c:v>
                </c:pt>
                <c:pt idx="32">
                  <c:v>256816.721184947</c:v>
                </c:pt>
                <c:pt idx="33">
                  <c:v>243336.36946589322</c:v>
                </c:pt>
                <c:pt idx="34">
                  <c:v>254321.66525583158</c:v>
                </c:pt>
                <c:pt idx="35">
                  <c:v>241348.13324650342</c:v>
                </c:pt>
                <c:pt idx="36">
                  <c:v>259465.25499766442</c:v>
                </c:pt>
                <c:pt idx="37">
                  <c:v>247438.90428115605</c:v>
                </c:pt>
                <c:pt idx="38">
                  <c:v>259086.08874296019</c:v>
                </c:pt>
                <c:pt idx="39">
                  <c:v>246781.91123556145</c:v>
                </c:pt>
                <c:pt idx="40">
                  <c:v>264039.60579481383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3-564A-B604-38C12B5DF4E6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2024'!$E$3:$E$43</c:f>
              <c:numCache>
                <c:formatCode>0</c:formatCode>
                <c:ptCount val="41"/>
                <c:pt idx="0">
                  <c:v>12220.707079474843</c:v>
                </c:pt>
                <c:pt idx="1">
                  <c:v>-7797.8759154189611</c:v>
                </c:pt>
                <c:pt idx="2">
                  <c:v>6585.8412413274054</c:v>
                </c:pt>
                <c:pt idx="3">
                  <c:v>-6696.3600043996703</c:v>
                </c:pt>
                <c:pt idx="4">
                  <c:v>13222.229823904898</c:v>
                </c:pt>
                <c:pt idx="5">
                  <c:v>-8537.1154823696415</c:v>
                </c:pt>
                <c:pt idx="6">
                  <c:v>6714.8409935734526</c:v>
                </c:pt>
                <c:pt idx="7">
                  <c:v>-5020.4647411122569</c:v>
                </c:pt>
                <c:pt idx="8">
                  <c:v>13141.329599773424</c:v>
                </c:pt>
                <c:pt idx="9">
                  <c:v>-9085.7927967140276</c:v>
                </c:pt>
                <c:pt idx="10">
                  <c:v>6531.9893523442443</c:v>
                </c:pt>
                <c:pt idx="11">
                  <c:v>-5586.5215287193714</c:v>
                </c:pt>
                <c:pt idx="12">
                  <c:v>14051.79369555923</c:v>
                </c:pt>
                <c:pt idx="13">
                  <c:v>-10534.286219704372</c:v>
                </c:pt>
                <c:pt idx="14">
                  <c:v>6277.5391768988047</c:v>
                </c:pt>
                <c:pt idx="15">
                  <c:v>-4464.4439873610972</c:v>
                </c:pt>
                <c:pt idx="16">
                  <c:v>14046.653287974477</c:v>
                </c:pt>
                <c:pt idx="17">
                  <c:v>-10297.827470805554</c:v>
                </c:pt>
                <c:pt idx="18">
                  <c:v>6120.5119642501231</c:v>
                </c:pt>
                <c:pt idx="19">
                  <c:v>-10428.66308290328</c:v>
                </c:pt>
                <c:pt idx="20">
                  <c:v>-6643.8544126410852</c:v>
                </c:pt>
                <c:pt idx="21">
                  <c:v>2314.4073197082616</c:v>
                </c:pt>
                <c:pt idx="22">
                  <c:v>7835.6946283639118</c:v>
                </c:pt>
                <c:pt idx="23">
                  <c:v>-5968.7475498430431</c:v>
                </c:pt>
                <c:pt idx="24">
                  <c:v>22281.096676127374</c:v>
                </c:pt>
                <c:pt idx="25">
                  <c:v>-7058.5139578114322</c:v>
                </c:pt>
                <c:pt idx="26">
                  <c:v>9081.2643424131384</c:v>
                </c:pt>
                <c:pt idx="27">
                  <c:v>-7011.8831175783125</c:v>
                </c:pt>
                <c:pt idx="28">
                  <c:v>19912.225514152029</c:v>
                </c:pt>
                <c:pt idx="29">
                  <c:v>-11826.119602016406</c:v>
                </c:pt>
                <c:pt idx="30">
                  <c:v>10405.776030085486</c:v>
                </c:pt>
                <c:pt idx="31">
                  <c:v>-15430.769225498545</c:v>
                </c:pt>
                <c:pt idx="32">
                  <c:v>14874.748471747414</c:v>
                </c:pt>
                <c:pt idx="33">
                  <c:v>-13480.351719053782</c:v>
                </c:pt>
                <c:pt idx="34">
                  <c:v>10985.295789938362</c:v>
                </c:pt>
                <c:pt idx="35">
                  <c:v>-12973.532009328163</c:v>
                </c:pt>
                <c:pt idx="36">
                  <c:v>18117.121751161001</c:v>
                </c:pt>
                <c:pt idx="37">
                  <c:v>-12026.350716508372</c:v>
                </c:pt>
                <c:pt idx="38">
                  <c:v>11647.184461804136</c:v>
                </c:pt>
                <c:pt idx="39">
                  <c:v>-12304.177507398737</c:v>
                </c:pt>
                <c:pt idx="40">
                  <c:v>17257.694559252384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63-564A-B604-38C12B5DF4E6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2024'!$F$3:$F$43</c:f>
              <c:numCache>
                <c:formatCode>0.00</c:formatCode>
                <c:ptCount val="41"/>
                <c:pt idx="0">
                  <c:v>-476.51188885878037</c:v>
                </c:pt>
                <c:pt idx="1">
                  <c:v>2199.8646856337527</c:v>
                </c:pt>
                <c:pt idx="2">
                  <c:v>-467.99461178921592</c:v>
                </c:pt>
                <c:pt idx="3">
                  <c:v>3056.9542159978628</c:v>
                </c:pt>
                <c:pt idx="4">
                  <c:v>525.01085557127408</c:v>
                </c:pt>
                <c:pt idx="5">
                  <c:v>1460.6251186830723</c:v>
                </c:pt>
                <c:pt idx="6">
                  <c:v>-338.99485954316879</c:v>
                </c:pt>
                <c:pt idx="7">
                  <c:v>4732.8494792852762</c:v>
                </c:pt>
                <c:pt idx="8">
                  <c:v>444.11063143980027</c:v>
                </c:pt>
                <c:pt idx="9">
                  <c:v>911.94780433868618</c:v>
                </c:pt>
                <c:pt idx="10">
                  <c:v>-521.84650077237711</c:v>
                </c:pt>
                <c:pt idx="11">
                  <c:v>4166.7926916781616</c:v>
                </c:pt>
                <c:pt idx="12">
                  <c:v>1354.5747272256067</c:v>
                </c:pt>
                <c:pt idx="13">
                  <c:v>-536.54561865165851</c:v>
                </c:pt>
                <c:pt idx="14">
                  <c:v>-776.29667621781664</c:v>
                </c:pt>
                <c:pt idx="15">
                  <c:v>5288.8702330364358</c:v>
                </c:pt>
                <c:pt idx="16">
                  <c:v>1349.4343196408536</c:v>
                </c:pt>
                <c:pt idx="17">
                  <c:v>-300.08686975284036</c:v>
                </c:pt>
                <c:pt idx="18">
                  <c:v>-933.32388886649824</c:v>
                </c:pt>
                <c:pt idx="19">
                  <c:v>-675.34886250574709</c:v>
                </c:pt>
                <c:pt idx="20">
                  <c:v>-19341.073380974711</c:v>
                </c:pt>
                <c:pt idx="21">
                  <c:v>12312.147920760975</c:v>
                </c:pt>
                <c:pt idx="22">
                  <c:v>781.8587752472904</c:v>
                </c:pt>
                <c:pt idx="23">
                  <c:v>3784.56667055449</c:v>
                </c:pt>
                <c:pt idx="24">
                  <c:v>9583.8777077937502</c:v>
                </c:pt>
                <c:pt idx="25">
                  <c:v>2939.2266432412816</c:v>
                </c:pt>
                <c:pt idx="26">
                  <c:v>2027.428489296517</c:v>
                </c:pt>
                <c:pt idx="27">
                  <c:v>2741.4311028192205</c:v>
                </c:pt>
                <c:pt idx="28">
                  <c:v>7215.0065458184054</c:v>
                </c:pt>
                <c:pt idx="29">
                  <c:v>-1828.3790009636923</c:v>
                </c:pt>
                <c:pt idx="30">
                  <c:v>3351.9401769688648</c:v>
                </c:pt>
                <c:pt idx="31">
                  <c:v>-5677.4550051010119</c:v>
                </c:pt>
                <c:pt idx="32">
                  <c:v>2177.5295034137907</c:v>
                </c:pt>
                <c:pt idx="33">
                  <c:v>-3482.6111180010685</c:v>
                </c:pt>
                <c:pt idx="34">
                  <c:v>3931.4599368217405</c:v>
                </c:pt>
                <c:pt idx="35">
                  <c:v>-3220.2177889306295</c:v>
                </c:pt>
                <c:pt idx="36">
                  <c:v>5419.9027828273775</c:v>
                </c:pt>
                <c:pt idx="37">
                  <c:v>-2028.6101154556582</c:v>
                </c:pt>
                <c:pt idx="38">
                  <c:v>4593.3486086875146</c:v>
                </c:pt>
                <c:pt idx="39">
                  <c:v>-2550.8632870012043</c:v>
                </c:pt>
                <c:pt idx="40">
                  <c:v>4560.4755909187606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63-564A-B604-38C12B5DF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B9D8526-23EA-FCEB-ECF9-123E4593F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630DD7-0866-8548-A0B8-00F71E0CA7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</xdr:colOff>
      <xdr:row>9</xdr:row>
      <xdr:rowOff>19050</xdr:rowOff>
    </xdr:from>
    <xdr:to>
      <xdr:col>18</xdr:col>
      <xdr:colOff>673100</xdr:colOff>
      <xdr:row>36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B5F2A-9901-0A4E-9BEF-CCCF0EBB4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workbookViewId="0">
      <selection sqref="A1:C43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49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26ED-E8A7-8E40-A3AC-3D98D99B61D1}">
  <dimension ref="A1:K43"/>
  <sheetViews>
    <sheetView workbookViewId="0">
      <selection activeCell="J30" sqref="J30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13" bestFit="1" customWidth="1"/>
    <col min="5" max="5" width="10" bestFit="1" customWidth="1"/>
    <col min="6" max="7" width="23.83203125" bestFit="1" customWidth="1"/>
    <col min="10" max="10" width="64.83203125" bestFit="1" customWidth="1"/>
    <col min="11" max="11" width="8.1640625" bestFit="1" customWidth="1"/>
    <col min="13" max="13" width="23.33203125" bestFit="1" customWidth="1"/>
    <col min="14" max="14" width="9.33203125" bestFit="1" customWidth="1"/>
    <col min="15" max="15" width="7.6640625" bestFit="1" customWidth="1"/>
    <col min="17" max="17" width="23.33203125" bestFit="1" customWidth="1"/>
    <col min="18" max="18" width="9.33203125" bestFit="1" customWidth="1"/>
    <col min="19" max="19" width="7.6640625" bestFit="1" customWidth="1"/>
  </cols>
  <sheetData>
    <row r="1" spans="1:11" x14ac:dyDescent="0.2">
      <c r="A1" s="3" t="s">
        <v>50</v>
      </c>
      <c r="B1" s="3" t="s">
        <v>43</v>
      </c>
      <c r="C1" s="3" t="s">
        <v>44</v>
      </c>
      <c r="D1" s="3" t="s">
        <v>53</v>
      </c>
      <c r="E1" s="3" t="s">
        <v>52</v>
      </c>
      <c r="F1" s="3" t="s">
        <v>58</v>
      </c>
      <c r="G1" s="3" t="s">
        <v>59</v>
      </c>
    </row>
    <row r="2" spans="1:11" x14ac:dyDescent="0.2">
      <c r="A2" t="s">
        <v>0</v>
      </c>
      <c r="B2">
        <v>2015</v>
      </c>
      <c r="C2">
        <v>1</v>
      </c>
      <c r="D2">
        <v>166342.20000000001</v>
      </c>
      <c r="F2" s="1">
        <f t="shared" ref="F2:F4" si="0">F3/E3</f>
        <v>152367.13305746697</v>
      </c>
      <c r="G2" s="1">
        <f t="shared" ref="G2:G36" si="1">G3/E3</f>
        <v>203587.31108216554</v>
      </c>
      <c r="J2" s="3" t="s">
        <v>55</v>
      </c>
      <c r="K2" s="2">
        <f>SUM('01 Removing Trend and Season'!D6:D9)</f>
        <v>644312</v>
      </c>
    </row>
    <row r="3" spans="1:11" x14ac:dyDescent="0.2">
      <c r="A3" t="s">
        <v>1</v>
      </c>
      <c r="B3">
        <v>2015</v>
      </c>
      <c r="C3">
        <v>2</v>
      </c>
      <c r="D3">
        <v>176327.2</v>
      </c>
      <c r="E3" s="1">
        <f>D3/D2</f>
        <v>1.0600268602916156</v>
      </c>
      <c r="F3" s="1">
        <f t="shared" si="0"/>
        <v>161513.25366654154</v>
      </c>
      <c r="G3" s="1">
        <f t="shared" si="1"/>
        <v>215808.01816164039</v>
      </c>
      <c r="J3" s="3" t="s">
        <v>57</v>
      </c>
      <c r="K3" s="2">
        <f>SUM(F6:F9)-K2</f>
        <v>0</v>
      </c>
    </row>
    <row r="4" spans="1:11" x14ac:dyDescent="0.2">
      <c r="A4" t="s">
        <v>2</v>
      </c>
      <c r="B4">
        <v>2015</v>
      </c>
      <c r="C4">
        <v>3</v>
      </c>
      <c r="D4">
        <v>169955.9</v>
      </c>
      <c r="E4" s="1">
        <f t="shared" ref="E4:E43" si="2">D4/D3</f>
        <v>0.963866607080473</v>
      </c>
      <c r="F4" s="1">
        <f t="shared" si="0"/>
        <v>155677.23181009715</v>
      </c>
      <c r="G4" s="1">
        <f t="shared" si="1"/>
        <v>208010.14224622143</v>
      </c>
    </row>
    <row r="5" spans="1:11" x14ac:dyDescent="0.2">
      <c r="A5" t="s">
        <v>3</v>
      </c>
      <c r="B5">
        <v>2015</v>
      </c>
      <c r="C5">
        <v>4</v>
      </c>
      <c r="D5">
        <v>175336.9</v>
      </c>
      <c r="E5" s="1">
        <f t="shared" si="2"/>
        <v>1.0316611544524197</v>
      </c>
      <c r="F5" s="1">
        <f>F6/E6</f>
        <v>160606.15269116178</v>
      </c>
      <c r="G5" s="1">
        <f t="shared" si="1"/>
        <v>214595.98348754883</v>
      </c>
      <c r="J5" s="3" t="s">
        <v>54</v>
      </c>
      <c r="K5" s="2">
        <f>SUM('01 Removing Trend and Season'!D38:D41)</f>
        <v>1007338</v>
      </c>
    </row>
    <row r="6" spans="1:11" x14ac:dyDescent="0.2">
      <c r="A6" t="s">
        <v>4</v>
      </c>
      <c r="B6">
        <v>2016</v>
      </c>
      <c r="C6">
        <v>1</v>
      </c>
      <c r="D6">
        <v>169865.60000000001</v>
      </c>
      <c r="E6" s="1">
        <f t="shared" si="2"/>
        <v>0.96879550168846384</v>
      </c>
      <c r="F6" s="4">
        <v>155594.5182706881</v>
      </c>
      <c r="G6" s="1">
        <f t="shared" si="1"/>
        <v>207899.62348314916</v>
      </c>
      <c r="J6" s="3" t="s">
        <v>56</v>
      </c>
      <c r="K6" s="2">
        <f>SUM(G38:G41)-K5</f>
        <v>0.38126828405074775</v>
      </c>
    </row>
    <row r="7" spans="1:11" x14ac:dyDescent="0.2">
      <c r="A7" t="s">
        <v>5</v>
      </c>
      <c r="B7">
        <v>2016</v>
      </c>
      <c r="C7">
        <v>2</v>
      </c>
      <c r="D7">
        <v>180668.9</v>
      </c>
      <c r="E7" s="1">
        <f t="shared" si="2"/>
        <v>1.0635991042329935</v>
      </c>
      <c r="F7" s="1">
        <f>F6*E7</f>
        <v>165490.19025626802</v>
      </c>
      <c r="G7" s="1">
        <f t="shared" si="1"/>
        <v>221121.85330705406</v>
      </c>
    </row>
    <row r="8" spans="1:11" x14ac:dyDescent="0.2">
      <c r="A8" t="s">
        <v>6</v>
      </c>
      <c r="B8">
        <v>2016</v>
      </c>
      <c r="C8">
        <v>3</v>
      </c>
      <c r="D8">
        <v>173693.6</v>
      </c>
      <c r="E8" s="1">
        <f t="shared" si="2"/>
        <v>0.961391805673251</v>
      </c>
      <c r="F8" s="1">
        <f t="shared" ref="F8:F43" si="3">F7*E8</f>
        <v>159100.91283168335</v>
      </c>
      <c r="G8" s="1">
        <f t="shared" si="1"/>
        <v>212584.73782468442</v>
      </c>
    </row>
    <row r="9" spans="1:11" x14ac:dyDescent="0.2">
      <c r="A9" t="s">
        <v>7</v>
      </c>
      <c r="B9">
        <v>2016</v>
      </c>
      <c r="C9">
        <v>4</v>
      </c>
      <c r="D9">
        <v>179180</v>
      </c>
      <c r="E9" s="1">
        <f t="shared" si="2"/>
        <v>1.0315866560425946</v>
      </c>
      <c r="F9" s="1">
        <f t="shared" si="3"/>
        <v>164126.37864136056</v>
      </c>
      <c r="G9" s="1">
        <f t="shared" si="1"/>
        <v>219299.57881825787</v>
      </c>
    </row>
    <row r="10" spans="1:11" x14ac:dyDescent="0.2">
      <c r="A10" t="s">
        <v>8</v>
      </c>
      <c r="B10">
        <v>2017</v>
      </c>
      <c r="C10">
        <v>1</v>
      </c>
      <c r="D10">
        <v>175078</v>
      </c>
      <c r="E10" s="1">
        <f t="shared" si="2"/>
        <v>0.97710681995758453</v>
      </c>
      <c r="F10" s="1">
        <f t="shared" si="3"/>
        <v>160369.00390541423</v>
      </c>
      <c r="G10" s="1">
        <f t="shared" si="1"/>
        <v>214279.11407714561</v>
      </c>
    </row>
    <row r="11" spans="1:11" x14ac:dyDescent="0.2">
      <c r="A11" t="s">
        <v>9</v>
      </c>
      <c r="B11">
        <v>2017</v>
      </c>
      <c r="C11">
        <v>2</v>
      </c>
      <c r="D11">
        <v>185815.2</v>
      </c>
      <c r="E11" s="1">
        <f t="shared" si="2"/>
        <v>1.0613280937639225</v>
      </c>
      <c r="F11" s="1">
        <f t="shared" si="3"/>
        <v>170204.12921375231</v>
      </c>
      <c r="G11" s="1">
        <f t="shared" si="1"/>
        <v>227420.44367691904</v>
      </c>
    </row>
    <row r="12" spans="1:11" x14ac:dyDescent="0.2">
      <c r="A12" t="s">
        <v>10</v>
      </c>
      <c r="B12">
        <v>2017</v>
      </c>
      <c r="C12">
        <v>3</v>
      </c>
      <c r="D12">
        <v>178391.6</v>
      </c>
      <c r="E12" s="1">
        <f t="shared" si="2"/>
        <v>0.96004847827303685</v>
      </c>
      <c r="F12" s="1">
        <f t="shared" si="3"/>
        <v>163404.21524745025</v>
      </c>
      <c r="G12" s="1">
        <f t="shared" si="1"/>
        <v>218334.65088020501</v>
      </c>
    </row>
    <row r="13" spans="1:11" x14ac:dyDescent="0.2">
      <c r="A13" t="s">
        <v>11</v>
      </c>
      <c r="B13">
        <v>2017</v>
      </c>
      <c r="C13">
        <v>4</v>
      </c>
      <c r="D13">
        <v>183728.6</v>
      </c>
      <c r="E13" s="1">
        <f t="shared" si="2"/>
        <v>1.0299173279459346</v>
      </c>
      <c r="F13" s="1">
        <f t="shared" si="3"/>
        <v>168292.83274275632</v>
      </c>
      <c r="G13" s="1">
        <f t="shared" si="1"/>
        <v>224866.64023254925</v>
      </c>
    </row>
    <row r="14" spans="1:11" x14ac:dyDescent="0.2">
      <c r="A14" t="s">
        <v>12</v>
      </c>
      <c r="B14">
        <v>2018</v>
      </c>
      <c r="C14">
        <v>1</v>
      </c>
      <c r="D14">
        <v>179164.1</v>
      </c>
      <c r="E14" s="1">
        <f t="shared" si="2"/>
        <v>0.97515629031081719</v>
      </c>
      <c r="F14" s="1">
        <f t="shared" si="3"/>
        <v>164111.81446332508</v>
      </c>
      <c r="G14" s="1">
        <f t="shared" si="1"/>
        <v>219280.11870382988</v>
      </c>
    </row>
    <row r="15" spans="1:11" x14ac:dyDescent="0.2">
      <c r="A15" t="s">
        <v>13</v>
      </c>
      <c r="B15">
        <v>2018</v>
      </c>
      <c r="C15">
        <v>2</v>
      </c>
      <c r="D15">
        <v>190645.2</v>
      </c>
      <c r="E15" s="1">
        <f t="shared" si="2"/>
        <v>1.0640814761439374</v>
      </c>
      <c r="F15" s="1">
        <f t="shared" si="3"/>
        <v>174628.34178679492</v>
      </c>
      <c r="G15" s="1">
        <f t="shared" si="1"/>
        <v>233331.91239938911</v>
      </c>
    </row>
    <row r="16" spans="1:11" x14ac:dyDescent="0.2">
      <c r="A16" t="s">
        <v>14</v>
      </c>
      <c r="B16">
        <v>2018</v>
      </c>
      <c r="C16">
        <v>3</v>
      </c>
      <c r="D16">
        <v>182038.1</v>
      </c>
      <c r="E16" s="1">
        <f t="shared" si="2"/>
        <v>0.95485278412464614</v>
      </c>
      <c r="F16" s="1">
        <f t="shared" si="3"/>
        <v>166744.35834219141</v>
      </c>
      <c r="G16" s="1">
        <f t="shared" si="1"/>
        <v>222797.62617968474</v>
      </c>
    </row>
    <row r="17" spans="1:7" x14ac:dyDescent="0.2">
      <c r="A17" t="s">
        <v>15</v>
      </c>
      <c r="B17">
        <v>2018</v>
      </c>
      <c r="C17">
        <v>4</v>
      </c>
      <c r="D17">
        <v>187167.2</v>
      </c>
      <c r="E17" s="1">
        <f t="shared" si="2"/>
        <v>1.028175969755782</v>
      </c>
      <c r="F17" s="1">
        <f t="shared" si="3"/>
        <v>171442.54233978826</v>
      </c>
      <c r="G17" s="1">
        <f t="shared" si="1"/>
        <v>229075.16535658354</v>
      </c>
    </row>
    <row r="18" spans="1:7" x14ac:dyDescent="0.2">
      <c r="A18" t="s">
        <v>16</v>
      </c>
      <c r="B18">
        <v>2019</v>
      </c>
      <c r="C18">
        <v>1</v>
      </c>
      <c r="D18">
        <v>183519.5</v>
      </c>
      <c r="E18" s="1">
        <f t="shared" si="2"/>
        <v>0.9805110083390679</v>
      </c>
      <c r="F18" s="1">
        <f t="shared" si="3"/>
        <v>168101.30006179912</v>
      </c>
      <c r="G18" s="1">
        <f t="shared" si="1"/>
        <v>224610.72136922245</v>
      </c>
    </row>
    <row r="19" spans="1:7" x14ac:dyDescent="0.2">
      <c r="A19" t="s">
        <v>17</v>
      </c>
      <c r="B19">
        <v>2019</v>
      </c>
      <c r="C19">
        <v>2</v>
      </c>
      <c r="D19">
        <v>194996.4</v>
      </c>
      <c r="E19" s="1">
        <f t="shared" si="2"/>
        <v>1.0625377684660213</v>
      </c>
      <c r="F19" s="1">
        <f t="shared" si="3"/>
        <v>178613.98024390108</v>
      </c>
      <c r="G19" s="1">
        <f t="shared" si="1"/>
        <v>238657.37465719692</v>
      </c>
    </row>
    <row r="20" spans="1:7" x14ac:dyDescent="0.2">
      <c r="A20" t="s">
        <v>18</v>
      </c>
      <c r="B20">
        <v>2019</v>
      </c>
      <c r="C20">
        <v>3</v>
      </c>
      <c r="D20">
        <v>186582.5</v>
      </c>
      <c r="E20" s="1">
        <f t="shared" si="2"/>
        <v>0.95685099827483999</v>
      </c>
      <c r="F20" s="1">
        <f t="shared" si="3"/>
        <v>170906.96530221929</v>
      </c>
      <c r="G20" s="1">
        <f t="shared" si="1"/>
        <v>228359.54718639137</v>
      </c>
    </row>
    <row r="21" spans="1:7" x14ac:dyDescent="0.2">
      <c r="A21" t="s">
        <v>19</v>
      </c>
      <c r="B21">
        <v>2019</v>
      </c>
      <c r="C21">
        <v>4</v>
      </c>
      <c r="D21">
        <v>191583.3</v>
      </c>
      <c r="E21" s="1">
        <f t="shared" si="2"/>
        <v>1.0268020848686237</v>
      </c>
      <c r="F21" s="1">
        <f t="shared" si="3"/>
        <v>175487.6282908883</v>
      </c>
      <c r="G21" s="1">
        <f t="shared" si="1"/>
        <v>234480.05915064149</v>
      </c>
    </row>
    <row r="22" spans="1:7" x14ac:dyDescent="0.2">
      <c r="A22" t="s">
        <v>20</v>
      </c>
      <c r="B22">
        <v>2020</v>
      </c>
      <c r="C22">
        <v>1</v>
      </c>
      <c r="D22">
        <v>183062.5</v>
      </c>
      <c r="E22" s="1">
        <f t="shared" si="2"/>
        <v>0.95552430718126269</v>
      </c>
      <c r="F22" s="1">
        <f t="shared" si="3"/>
        <v>167682.694441534</v>
      </c>
      <c r="G22" s="1">
        <f t="shared" si="1"/>
        <v>224051.39606773821</v>
      </c>
    </row>
    <row r="23" spans="1:7" x14ac:dyDescent="0.2">
      <c r="A23" t="s">
        <v>21</v>
      </c>
      <c r="B23">
        <v>2020</v>
      </c>
      <c r="C23">
        <v>2</v>
      </c>
      <c r="D23">
        <v>177634.1</v>
      </c>
      <c r="E23" s="1">
        <f t="shared" si="2"/>
        <v>0.97034673950153638</v>
      </c>
      <c r="F23" s="1">
        <f t="shared" si="3"/>
        <v>162710.3558221749</v>
      </c>
      <c r="G23" s="1">
        <f t="shared" si="1"/>
        <v>217407.54165509713</v>
      </c>
    </row>
    <row r="24" spans="1:7" x14ac:dyDescent="0.2">
      <c r="A24" t="s">
        <v>22</v>
      </c>
      <c r="B24">
        <v>2020</v>
      </c>
      <c r="C24">
        <v>3</v>
      </c>
      <c r="D24">
        <v>179525.1</v>
      </c>
      <c r="E24" s="1">
        <f t="shared" si="2"/>
        <v>1.0106454785426897</v>
      </c>
      <c r="F24" s="1">
        <f t="shared" si="3"/>
        <v>164442.48542375327</v>
      </c>
      <c r="G24" s="1">
        <f t="shared" si="1"/>
        <v>219721.94897480539</v>
      </c>
    </row>
    <row r="25" spans="1:7" x14ac:dyDescent="0.2">
      <c r="A25" t="s">
        <v>23</v>
      </c>
      <c r="B25">
        <v>2020</v>
      </c>
      <c r="C25">
        <v>4</v>
      </c>
      <c r="D25">
        <v>185927.3</v>
      </c>
      <c r="E25" s="1">
        <f t="shared" si="2"/>
        <v>1.0356618656666949</v>
      </c>
      <c r="F25" s="1">
        <f t="shared" si="3"/>
        <v>170306.81124883259</v>
      </c>
      <c r="G25" s="1">
        <f t="shared" si="1"/>
        <v>227557.6436031693</v>
      </c>
    </row>
    <row r="26" spans="1:7" x14ac:dyDescent="0.2">
      <c r="A26" t="s">
        <v>24</v>
      </c>
      <c r="B26">
        <v>2021</v>
      </c>
      <c r="C26">
        <v>1</v>
      </c>
      <c r="D26">
        <v>181050.5</v>
      </c>
      <c r="E26" s="1">
        <f t="shared" si="2"/>
        <v>0.97377039305147772</v>
      </c>
      <c r="F26" s="1">
        <f t="shared" si="3"/>
        <v>165839.73052911952</v>
      </c>
      <c r="G26" s="1">
        <f t="shared" si="1"/>
        <v>221588.89605332626</v>
      </c>
    </row>
    <row r="27" spans="1:7" x14ac:dyDescent="0.2">
      <c r="A27" t="s">
        <v>25</v>
      </c>
      <c r="B27">
        <v>2021</v>
      </c>
      <c r="C27">
        <v>2</v>
      </c>
      <c r="D27">
        <v>199255.4</v>
      </c>
      <c r="E27" s="1">
        <f t="shared" si="2"/>
        <v>1.1005515035860161</v>
      </c>
      <c r="F27" s="1">
        <f t="shared" si="3"/>
        <v>182515.16478812223</v>
      </c>
      <c r="G27" s="1">
        <f t="shared" si="1"/>
        <v>243869.99272945363</v>
      </c>
    </row>
    <row r="28" spans="1:7" x14ac:dyDescent="0.2">
      <c r="A28" t="s">
        <v>26</v>
      </c>
      <c r="B28">
        <v>2021</v>
      </c>
      <c r="C28">
        <v>3</v>
      </c>
      <c r="D28">
        <v>193488.2</v>
      </c>
      <c r="E28" s="1">
        <f t="shared" si="2"/>
        <v>0.97105624239041965</v>
      </c>
      <c r="F28" s="1">
        <f t="shared" si="3"/>
        <v>177232.49009842222</v>
      </c>
      <c r="G28" s="1">
        <f t="shared" si="1"/>
        <v>236811.4787716422</v>
      </c>
    </row>
    <row r="29" spans="1:7" x14ac:dyDescent="0.2">
      <c r="A29" t="s">
        <v>27</v>
      </c>
      <c r="B29">
        <v>2021</v>
      </c>
      <c r="C29">
        <v>4</v>
      </c>
      <c r="D29">
        <v>200908.1</v>
      </c>
      <c r="E29" s="1">
        <f t="shared" si="2"/>
        <v>1.0383480749730474</v>
      </c>
      <c r="F29" s="1">
        <f t="shared" si="3"/>
        <v>184029.01491637639</v>
      </c>
      <c r="G29" s="1">
        <f t="shared" si="1"/>
        <v>245892.74311405534</v>
      </c>
    </row>
    <row r="30" spans="1:7" x14ac:dyDescent="0.2">
      <c r="A30" t="s">
        <v>28</v>
      </c>
      <c r="B30">
        <v>2022</v>
      </c>
      <c r="C30">
        <v>1</v>
      </c>
      <c r="D30">
        <v>195179</v>
      </c>
      <c r="E30" s="1">
        <f t="shared" si="2"/>
        <v>0.97148397700242051</v>
      </c>
      <c r="F30" s="1">
        <f t="shared" si="3"/>
        <v>178781.2392947991</v>
      </c>
      <c r="G30" s="1">
        <f t="shared" si="1"/>
        <v>238880.85999647703</v>
      </c>
    </row>
    <row r="31" spans="1:7" x14ac:dyDescent="0.2">
      <c r="A31" t="s">
        <v>29</v>
      </c>
      <c r="B31">
        <v>2022</v>
      </c>
      <c r="C31">
        <v>2</v>
      </c>
      <c r="D31">
        <v>211448.4</v>
      </c>
      <c r="E31" s="1">
        <f t="shared" si="2"/>
        <v>1.0833563037007055</v>
      </c>
      <c r="F31" s="1">
        <f t="shared" si="3"/>
        <v>193683.78257344489</v>
      </c>
      <c r="G31" s="1">
        <f t="shared" si="1"/>
        <v>258793.08551062905</v>
      </c>
    </row>
    <row r="32" spans="1:7" x14ac:dyDescent="0.2">
      <c r="A32" t="s">
        <v>30</v>
      </c>
      <c r="B32">
        <v>2022</v>
      </c>
      <c r="C32">
        <v>3</v>
      </c>
      <c r="D32">
        <v>201785.8</v>
      </c>
      <c r="E32" s="1">
        <f t="shared" si="2"/>
        <v>0.95430279916991567</v>
      </c>
      <c r="F32" s="1">
        <f t="shared" si="3"/>
        <v>184832.9758636558</v>
      </c>
      <c r="G32" s="1">
        <f t="shared" si="1"/>
        <v>246966.96590861265</v>
      </c>
    </row>
    <row r="33" spans="1:7" x14ac:dyDescent="0.2">
      <c r="A33" t="s">
        <v>31</v>
      </c>
      <c r="B33">
        <v>2022</v>
      </c>
      <c r="C33">
        <v>4</v>
      </c>
      <c r="D33">
        <v>210287.9</v>
      </c>
      <c r="E33" s="1">
        <f t="shared" si="2"/>
        <v>1.0421342829872073</v>
      </c>
      <c r="F33" s="1">
        <f t="shared" si="3"/>
        <v>192620.78077406273</v>
      </c>
      <c r="G33" s="1">
        <f t="shared" si="1"/>
        <v>257372.74193869813</v>
      </c>
    </row>
    <row r="34" spans="1:7" x14ac:dyDescent="0.2">
      <c r="A34" t="s">
        <v>32</v>
      </c>
      <c r="B34">
        <v>2023</v>
      </c>
      <c r="C34">
        <v>1</v>
      </c>
      <c r="D34">
        <v>197680.1</v>
      </c>
      <c r="E34" s="1">
        <f t="shared" si="2"/>
        <v>0.94004505252085357</v>
      </c>
      <c r="F34" s="1">
        <f t="shared" si="3"/>
        <v>181072.21197936163</v>
      </c>
      <c r="G34" s="1">
        <f t="shared" si="1"/>
        <v>241941.97271319959</v>
      </c>
    </row>
    <row r="35" spans="1:7" x14ac:dyDescent="0.2">
      <c r="A35" t="s">
        <v>33</v>
      </c>
      <c r="B35">
        <v>2023</v>
      </c>
      <c r="C35">
        <v>2</v>
      </c>
      <c r="D35">
        <v>209833.60000000001</v>
      </c>
      <c r="E35" s="1">
        <f t="shared" si="2"/>
        <v>1.061480644738646</v>
      </c>
      <c r="F35" s="1">
        <f t="shared" si="3"/>
        <v>192204.64831610557</v>
      </c>
      <c r="G35" s="1">
        <f t="shared" si="1"/>
        <v>256816.721184947</v>
      </c>
    </row>
    <row r="36" spans="1:7" x14ac:dyDescent="0.2">
      <c r="A36" t="s">
        <v>34</v>
      </c>
      <c r="B36">
        <v>2023</v>
      </c>
      <c r="C36">
        <v>3</v>
      </c>
      <c r="D36">
        <v>198819.4</v>
      </c>
      <c r="E36" s="1">
        <f t="shared" si="2"/>
        <v>0.94750983636557728</v>
      </c>
      <c r="F36" s="1">
        <f t="shared" si="3"/>
        <v>182115.79487469653</v>
      </c>
      <c r="G36" s="1">
        <f t="shared" si="1"/>
        <v>243336.36946589322</v>
      </c>
    </row>
    <row r="37" spans="1:7" x14ac:dyDescent="0.2">
      <c r="A37" t="s">
        <v>35</v>
      </c>
      <c r="B37">
        <v>2023</v>
      </c>
      <c r="C37">
        <v>4</v>
      </c>
      <c r="D37">
        <v>207795</v>
      </c>
      <c r="E37" s="1">
        <f t="shared" si="2"/>
        <v>1.0451444879121454</v>
      </c>
      <c r="F37" s="1">
        <f t="shared" si="3"/>
        <v>190337.31917502801</v>
      </c>
      <c r="G37" s="1">
        <f>G38/E38</f>
        <v>254321.66525583158</v>
      </c>
    </row>
    <row r="38" spans="1:7" x14ac:dyDescent="0.2">
      <c r="A38" t="s">
        <v>36</v>
      </c>
      <c r="B38">
        <v>2024</v>
      </c>
      <c r="C38">
        <v>1</v>
      </c>
      <c r="D38">
        <v>197194.9</v>
      </c>
      <c r="E38" s="1">
        <f t="shared" si="2"/>
        <v>0.94898770422772438</v>
      </c>
      <c r="F38" s="1">
        <f t="shared" si="3"/>
        <v>180627.77555276945</v>
      </c>
      <c r="G38" s="4">
        <v>241348.13324650342</v>
      </c>
    </row>
    <row r="39" spans="1:7" x14ac:dyDescent="0.2">
      <c r="A39" t="s">
        <v>37</v>
      </c>
      <c r="B39">
        <v>2024</v>
      </c>
      <c r="C39">
        <v>2</v>
      </c>
      <c r="D39">
        <v>211997.6</v>
      </c>
      <c r="E39" s="1">
        <f t="shared" si="2"/>
        <v>1.0750663429936576</v>
      </c>
      <c r="F39" s="1">
        <f t="shared" si="3"/>
        <v>194186.84210659502</v>
      </c>
      <c r="G39" s="1">
        <f>G38*E39</f>
        <v>259465.25499766442</v>
      </c>
    </row>
    <row r="40" spans="1:7" x14ac:dyDescent="0.2">
      <c r="A40" t="s">
        <v>38</v>
      </c>
      <c r="B40">
        <v>2024</v>
      </c>
      <c r="C40">
        <v>3</v>
      </c>
      <c r="D40">
        <v>202171.4</v>
      </c>
      <c r="E40" s="1">
        <f t="shared" si="2"/>
        <v>0.95364947527707855</v>
      </c>
      <c r="F40" s="1">
        <f t="shared" si="3"/>
        <v>185186.18008066725</v>
      </c>
      <c r="G40" s="1">
        <f t="shared" ref="G40:G43" si="4">G39*E40</f>
        <v>247438.90428115605</v>
      </c>
    </row>
    <row r="41" spans="1:7" x14ac:dyDescent="0.2">
      <c r="A41" t="s">
        <v>39</v>
      </c>
      <c r="B41">
        <v>2024</v>
      </c>
      <c r="C41">
        <v>4</v>
      </c>
      <c r="D41">
        <v>211687.8</v>
      </c>
      <c r="E41" s="1">
        <f t="shared" si="2"/>
        <v>1.0470709506883762</v>
      </c>
      <c r="F41" s="1">
        <f t="shared" si="3"/>
        <v>193903.06963141309</v>
      </c>
      <c r="G41" s="1">
        <f t="shared" si="4"/>
        <v>259086.08874296019</v>
      </c>
    </row>
    <row r="42" spans="1:7" x14ac:dyDescent="0.2">
      <c r="A42" t="s">
        <v>40</v>
      </c>
      <c r="B42">
        <v>2025</v>
      </c>
      <c r="C42">
        <v>1</v>
      </c>
      <c r="D42">
        <v>201634.6</v>
      </c>
      <c r="E42" s="1">
        <f t="shared" si="2"/>
        <v>0.95250930851943294</v>
      </c>
      <c r="F42" s="1">
        <f t="shared" si="3"/>
        <v>184694.47877441274</v>
      </c>
      <c r="G42" s="1">
        <f t="shared" si="4"/>
        <v>246781.91123556145</v>
      </c>
    </row>
    <row r="43" spans="1:7" x14ac:dyDescent="0.2">
      <c r="A43" t="s">
        <v>41</v>
      </c>
      <c r="B43">
        <v>2025</v>
      </c>
      <c r="C43">
        <v>2</v>
      </c>
      <c r="D43">
        <v>215735.1</v>
      </c>
      <c r="E43" s="1">
        <f t="shared" si="2"/>
        <v>1.069930954310421</v>
      </c>
      <c r="F43" s="1">
        <f t="shared" si="3"/>
        <v>197610.33993097322</v>
      </c>
      <c r="G43" s="1">
        <f t="shared" si="4"/>
        <v>264039.60579481383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2D8A-57B6-5D4E-874E-1377484B96AF}">
  <dimension ref="A1:J43"/>
  <sheetViews>
    <sheetView topLeftCell="A3" workbookViewId="0">
      <selection activeCell="I38" sqref="I38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1">
        <v>152367.13305746697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1">
        <v>161513.25366654154</v>
      </c>
      <c r="E3" s="2">
        <f>D3-D2</f>
        <v>9146.1206090745691</v>
      </c>
      <c r="F3" s="1">
        <f>E3-_xlfn.XLOOKUP(C3,$H$3:$H$6,$J$3:$J$6)</f>
        <v>-356.62709029989674</v>
      </c>
      <c r="H3">
        <v>1</v>
      </c>
      <c r="I3" s="1">
        <f>AVERAGEIF($C$3:$C$43,1,$E$3:$E$43)</f>
        <v>-6427.7763178445048</v>
      </c>
      <c r="J3" s="1">
        <f>I3-$I$8</f>
        <v>-7299.4948342867428</v>
      </c>
    </row>
    <row r="4" spans="1:10" x14ac:dyDescent="0.2">
      <c r="A4" t="s">
        <v>2</v>
      </c>
      <c r="B4" s="2">
        <v>2015</v>
      </c>
      <c r="C4" s="2">
        <v>3</v>
      </c>
      <c r="D4" s="1">
        <v>155677.23181009715</v>
      </c>
      <c r="E4" s="2">
        <f t="shared" ref="E4:E43" si="0">D4-D3</f>
        <v>-5836.0218564443931</v>
      </c>
      <c r="F4" s="1">
        <f t="shared" ref="F4:F43" si="1">E4-_xlfn.XLOOKUP(C4,$H$3:$H$6,$J$3:$J$6)</f>
        <v>1646.4045498842406</v>
      </c>
      <c r="H4">
        <v>2</v>
      </c>
      <c r="I4" s="1">
        <f>AVERAGEIF($C$3:$C$43,2,$E$3:$E$43)</f>
        <v>10374.466215816705</v>
      </c>
      <c r="J4" s="1">
        <f t="shared" ref="J4:J6" si="2">I4-$I$8</f>
        <v>9502.7476993744658</v>
      </c>
    </row>
    <row r="5" spans="1:10" x14ac:dyDescent="0.2">
      <c r="A5" t="s">
        <v>3</v>
      </c>
      <c r="B5" s="2">
        <v>2015</v>
      </c>
      <c r="C5" s="2">
        <v>4</v>
      </c>
      <c r="D5" s="1">
        <v>160606.15269116178</v>
      </c>
      <c r="E5" s="2">
        <f t="shared" si="0"/>
        <v>4928.9208810646378</v>
      </c>
      <c r="F5" s="1">
        <f t="shared" si="1"/>
        <v>-350.25266017627291</v>
      </c>
      <c r="H5">
        <v>3</v>
      </c>
      <c r="I5" s="1">
        <f>AVERAGEIF($C$3:$C$43,3,$E$3:$E$43)</f>
        <v>-6610.7078898863956</v>
      </c>
      <c r="J5" s="1">
        <f t="shared" si="2"/>
        <v>-7482.4264063286337</v>
      </c>
    </row>
    <row r="6" spans="1:10" x14ac:dyDescent="0.2">
      <c r="A6" t="s">
        <v>4</v>
      </c>
      <c r="B6" s="2">
        <v>2016</v>
      </c>
      <c r="C6" s="2">
        <v>1</v>
      </c>
      <c r="D6" s="1">
        <v>155594.5182706881</v>
      </c>
      <c r="E6" s="2">
        <f t="shared" si="0"/>
        <v>-5011.6344204736815</v>
      </c>
      <c r="F6" s="1">
        <f t="shared" si="1"/>
        <v>2287.8604138130613</v>
      </c>
      <c r="H6">
        <v>4</v>
      </c>
      <c r="I6" s="1">
        <f>AVERAGEIF($C$3:$C$43,4,$E$3:$E$43)</f>
        <v>6150.8920576831497</v>
      </c>
      <c r="J6" s="1">
        <f t="shared" si="2"/>
        <v>5279.1735412409107</v>
      </c>
    </row>
    <row r="7" spans="1:10" x14ac:dyDescent="0.2">
      <c r="A7" t="s">
        <v>5</v>
      </c>
      <c r="B7" s="2">
        <v>2016</v>
      </c>
      <c r="C7" s="2">
        <v>2</v>
      </c>
      <c r="D7" s="1">
        <v>165490.19025626802</v>
      </c>
      <c r="E7" s="2">
        <f t="shared" si="0"/>
        <v>9895.6719855799165</v>
      </c>
      <c r="F7" s="1">
        <f t="shared" si="1"/>
        <v>392.9242862054507</v>
      </c>
    </row>
    <row r="8" spans="1:10" x14ac:dyDescent="0.2">
      <c r="A8" t="s">
        <v>6</v>
      </c>
      <c r="B8" s="2">
        <v>2016</v>
      </c>
      <c r="C8" s="2">
        <v>3</v>
      </c>
      <c r="D8" s="1">
        <v>159100.91283168335</v>
      </c>
      <c r="E8" s="2">
        <f t="shared" si="0"/>
        <v>-6389.2774245846667</v>
      </c>
      <c r="F8" s="1">
        <f t="shared" si="1"/>
        <v>1093.1489817439669</v>
      </c>
      <c r="H8" s="3" t="s">
        <v>49</v>
      </c>
      <c r="I8" s="1">
        <f>AVERAGE(I3:I6)</f>
        <v>871.71851644223852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164126.37864136056</v>
      </c>
      <c r="E9" s="2">
        <f t="shared" si="0"/>
        <v>5025.4658096772037</v>
      </c>
      <c r="F9" s="1">
        <f t="shared" si="1"/>
        <v>-253.70773156370706</v>
      </c>
    </row>
    <row r="10" spans="1:10" x14ac:dyDescent="0.2">
      <c r="A10" t="s">
        <v>8</v>
      </c>
      <c r="B10" s="2">
        <v>2017</v>
      </c>
      <c r="C10" s="2">
        <v>1</v>
      </c>
      <c r="D10" s="1">
        <v>160369.00390541423</v>
      </c>
      <c r="E10" s="2">
        <f t="shared" si="0"/>
        <v>-3757.3747359463305</v>
      </c>
      <c r="F10" s="1">
        <f t="shared" si="1"/>
        <v>3542.1200983404124</v>
      </c>
    </row>
    <row r="11" spans="1:10" x14ac:dyDescent="0.2">
      <c r="A11" t="s">
        <v>9</v>
      </c>
      <c r="B11" s="2">
        <v>2017</v>
      </c>
      <c r="C11" s="2">
        <v>2</v>
      </c>
      <c r="D11" s="1">
        <v>170204.12921375231</v>
      </c>
      <c r="E11" s="2">
        <f t="shared" si="0"/>
        <v>9835.1253083380871</v>
      </c>
      <c r="F11" s="1">
        <f t="shared" si="1"/>
        <v>332.37760896362124</v>
      </c>
    </row>
    <row r="12" spans="1:10" x14ac:dyDescent="0.2">
      <c r="A12" t="s">
        <v>10</v>
      </c>
      <c r="B12" s="2">
        <v>2017</v>
      </c>
      <c r="C12" s="2">
        <v>3</v>
      </c>
      <c r="D12" s="1">
        <v>163404.21524745025</v>
      </c>
      <c r="E12" s="2">
        <f t="shared" si="0"/>
        <v>-6799.9139663020615</v>
      </c>
      <c r="F12" s="1">
        <f t="shared" si="1"/>
        <v>682.51244002657222</v>
      </c>
    </row>
    <row r="13" spans="1:10" x14ac:dyDescent="0.2">
      <c r="A13" t="s">
        <v>11</v>
      </c>
      <c r="B13" s="2">
        <v>2017</v>
      </c>
      <c r="C13" s="2">
        <v>4</v>
      </c>
      <c r="D13" s="1">
        <v>168292.83274275632</v>
      </c>
      <c r="E13" s="2">
        <f t="shared" si="0"/>
        <v>4888.617495306069</v>
      </c>
      <c r="F13" s="1">
        <f t="shared" si="1"/>
        <v>-390.55604593484168</v>
      </c>
    </row>
    <row r="14" spans="1:10" x14ac:dyDescent="0.2">
      <c r="A14" t="s">
        <v>12</v>
      </c>
      <c r="B14" s="2">
        <v>2018</v>
      </c>
      <c r="C14" s="2">
        <v>1</v>
      </c>
      <c r="D14" s="1">
        <v>164111.81446332508</v>
      </c>
      <c r="E14" s="2">
        <f t="shared" si="0"/>
        <v>-4181.0182794312423</v>
      </c>
      <c r="F14" s="1">
        <f t="shared" si="1"/>
        <v>3118.4765548555006</v>
      </c>
    </row>
    <row r="15" spans="1:10" x14ac:dyDescent="0.2">
      <c r="A15" t="s">
        <v>13</v>
      </c>
      <c r="B15" s="2">
        <v>2018</v>
      </c>
      <c r="C15" s="2">
        <v>2</v>
      </c>
      <c r="D15" s="1">
        <v>174628.34178679492</v>
      </c>
      <c r="E15" s="2">
        <f t="shared" si="0"/>
        <v>10516.52732346984</v>
      </c>
      <c r="F15" s="1">
        <f t="shared" si="1"/>
        <v>1013.7796240953739</v>
      </c>
    </row>
    <row r="16" spans="1:10" x14ac:dyDescent="0.2">
      <c r="A16" t="s">
        <v>14</v>
      </c>
      <c r="B16" s="2">
        <v>2018</v>
      </c>
      <c r="C16" s="2">
        <v>3</v>
      </c>
      <c r="D16" s="1">
        <v>166744.35834219141</v>
      </c>
      <c r="E16" s="2">
        <f t="shared" si="0"/>
        <v>-7883.9834446035093</v>
      </c>
      <c r="F16" s="1">
        <f t="shared" si="1"/>
        <v>-401.55703827487559</v>
      </c>
    </row>
    <row r="17" spans="1:6" x14ac:dyDescent="0.2">
      <c r="A17" t="s">
        <v>15</v>
      </c>
      <c r="B17" s="2">
        <v>2018</v>
      </c>
      <c r="C17" s="2">
        <v>4</v>
      </c>
      <c r="D17" s="1">
        <v>171442.54233978826</v>
      </c>
      <c r="E17" s="2">
        <f t="shared" si="0"/>
        <v>4698.1839975968469</v>
      </c>
      <c r="F17" s="1">
        <f t="shared" si="1"/>
        <v>-580.98954364406382</v>
      </c>
    </row>
    <row r="18" spans="1:6" x14ac:dyDescent="0.2">
      <c r="A18" t="s">
        <v>16</v>
      </c>
      <c r="B18" s="2">
        <v>2019</v>
      </c>
      <c r="C18" s="2">
        <v>1</v>
      </c>
      <c r="D18" s="1">
        <v>168101.30006179912</v>
      </c>
      <c r="E18" s="2">
        <f t="shared" si="0"/>
        <v>-3341.2422779891349</v>
      </c>
      <c r="F18" s="1">
        <f t="shared" si="1"/>
        <v>3958.252556297608</v>
      </c>
    </row>
    <row r="19" spans="1:6" x14ac:dyDescent="0.2">
      <c r="A19" t="s">
        <v>17</v>
      </c>
      <c r="B19" s="2">
        <v>2019</v>
      </c>
      <c r="C19" s="2">
        <v>2</v>
      </c>
      <c r="D19" s="1">
        <v>178613.98024390108</v>
      </c>
      <c r="E19" s="2">
        <f t="shared" si="0"/>
        <v>10512.680182101962</v>
      </c>
      <c r="F19" s="1">
        <f t="shared" si="1"/>
        <v>1009.9324827274959</v>
      </c>
    </row>
    <row r="20" spans="1:6" x14ac:dyDescent="0.2">
      <c r="A20" t="s">
        <v>18</v>
      </c>
      <c r="B20" s="2">
        <v>2019</v>
      </c>
      <c r="C20" s="2">
        <v>3</v>
      </c>
      <c r="D20" s="1">
        <v>170906.96530221929</v>
      </c>
      <c r="E20" s="2">
        <f t="shared" si="0"/>
        <v>-7707.0149416817876</v>
      </c>
      <c r="F20" s="1">
        <f t="shared" si="1"/>
        <v>-224.58853535315393</v>
      </c>
    </row>
    <row r="21" spans="1:6" x14ac:dyDescent="0.2">
      <c r="A21" t="s">
        <v>19</v>
      </c>
      <c r="B21" s="2">
        <v>2019</v>
      </c>
      <c r="C21" s="2">
        <v>4</v>
      </c>
      <c r="D21" s="1">
        <v>175487.6282908883</v>
      </c>
      <c r="E21" s="2">
        <f t="shared" si="0"/>
        <v>4580.6629886690062</v>
      </c>
      <c r="F21" s="1">
        <f t="shared" si="1"/>
        <v>-698.51055257190455</v>
      </c>
    </row>
    <row r="22" spans="1:6" x14ac:dyDescent="0.2">
      <c r="A22" t="s">
        <v>20</v>
      </c>
      <c r="B22" s="2">
        <v>2020</v>
      </c>
      <c r="C22" s="2">
        <v>1</v>
      </c>
      <c r="D22" s="1">
        <v>167682.694441534</v>
      </c>
      <c r="E22" s="2">
        <f t="shared" si="0"/>
        <v>-7804.9338493543037</v>
      </c>
      <c r="F22" s="1">
        <f t="shared" si="1"/>
        <v>-505.43901506756083</v>
      </c>
    </row>
    <row r="23" spans="1:6" x14ac:dyDescent="0.2">
      <c r="A23" t="s">
        <v>21</v>
      </c>
      <c r="B23" s="2">
        <v>2020</v>
      </c>
      <c r="C23" s="2">
        <v>2</v>
      </c>
      <c r="D23" s="1">
        <v>162710.3558221749</v>
      </c>
      <c r="E23" s="2">
        <f t="shared" si="0"/>
        <v>-4972.3386193590995</v>
      </c>
      <c r="F23" s="1">
        <f t="shared" si="1"/>
        <v>-14475.086318733565</v>
      </c>
    </row>
    <row r="24" spans="1:6" x14ac:dyDescent="0.2">
      <c r="A24" t="s">
        <v>22</v>
      </c>
      <c r="B24" s="2">
        <v>2020</v>
      </c>
      <c r="C24" s="2">
        <v>3</v>
      </c>
      <c r="D24" s="1">
        <v>164442.48542375327</v>
      </c>
      <c r="E24" s="2">
        <f t="shared" si="0"/>
        <v>1732.1296015783737</v>
      </c>
      <c r="F24" s="1">
        <f t="shared" si="1"/>
        <v>9214.5560079070074</v>
      </c>
    </row>
    <row r="25" spans="1:6" x14ac:dyDescent="0.2">
      <c r="A25" t="s">
        <v>23</v>
      </c>
      <c r="B25" s="2">
        <v>2020</v>
      </c>
      <c r="C25" s="2">
        <v>4</v>
      </c>
      <c r="D25" s="1">
        <v>170306.81124883259</v>
      </c>
      <c r="E25" s="2">
        <f t="shared" si="0"/>
        <v>5864.3258250793151</v>
      </c>
      <c r="F25" s="1">
        <f t="shared" si="1"/>
        <v>585.1522838384044</v>
      </c>
    </row>
    <row r="26" spans="1:6" x14ac:dyDescent="0.2">
      <c r="A26" t="s">
        <v>24</v>
      </c>
      <c r="B26" s="2">
        <v>2021</v>
      </c>
      <c r="C26" s="2">
        <v>1</v>
      </c>
      <c r="D26" s="1">
        <v>165839.73052911952</v>
      </c>
      <c r="E26" s="2">
        <f t="shared" si="0"/>
        <v>-4467.0807197130634</v>
      </c>
      <c r="F26" s="1">
        <f t="shared" si="1"/>
        <v>2832.4141145736794</v>
      </c>
    </row>
    <row r="27" spans="1:6" x14ac:dyDescent="0.2">
      <c r="A27" t="s">
        <v>25</v>
      </c>
      <c r="B27" s="2">
        <v>2021</v>
      </c>
      <c r="C27" s="2">
        <v>2</v>
      </c>
      <c r="D27" s="1">
        <v>182515.16478812223</v>
      </c>
      <c r="E27" s="2">
        <f t="shared" si="0"/>
        <v>16675.434259002708</v>
      </c>
      <c r="F27" s="1">
        <f t="shared" si="1"/>
        <v>7172.6865596282423</v>
      </c>
    </row>
    <row r="28" spans="1:6" x14ac:dyDescent="0.2">
      <c r="A28" t="s">
        <v>26</v>
      </c>
      <c r="B28" s="2">
        <v>2021</v>
      </c>
      <c r="C28" s="2">
        <v>3</v>
      </c>
      <c r="D28" s="1">
        <v>177232.49009842222</v>
      </c>
      <c r="E28" s="2">
        <f t="shared" si="0"/>
        <v>-5282.6746897000121</v>
      </c>
      <c r="F28" s="1">
        <f t="shared" si="1"/>
        <v>2199.7517166286216</v>
      </c>
    </row>
    <row r="29" spans="1:6" x14ac:dyDescent="0.2">
      <c r="A29" t="s">
        <v>27</v>
      </c>
      <c r="B29" s="2">
        <v>2021</v>
      </c>
      <c r="C29" s="2">
        <v>4</v>
      </c>
      <c r="D29" s="1">
        <v>184029.01491637639</v>
      </c>
      <c r="E29" s="2">
        <f t="shared" si="0"/>
        <v>6796.5248179541668</v>
      </c>
      <c r="F29" s="1">
        <f t="shared" si="1"/>
        <v>1517.3512767132561</v>
      </c>
    </row>
    <row r="30" spans="1:6" x14ac:dyDescent="0.2">
      <c r="A30" t="s">
        <v>28</v>
      </c>
      <c r="B30" s="2">
        <v>2022</v>
      </c>
      <c r="C30" s="2">
        <v>1</v>
      </c>
      <c r="D30" s="1">
        <v>178781.2392947991</v>
      </c>
      <c r="E30" s="2">
        <f t="shared" si="0"/>
        <v>-5247.7756215772824</v>
      </c>
      <c r="F30" s="1">
        <f t="shared" si="1"/>
        <v>2051.7192127094604</v>
      </c>
    </row>
    <row r="31" spans="1:6" x14ac:dyDescent="0.2">
      <c r="A31" t="s">
        <v>29</v>
      </c>
      <c r="B31" s="2">
        <v>2022</v>
      </c>
      <c r="C31" s="2">
        <v>2</v>
      </c>
      <c r="D31" s="1">
        <v>193683.78257344489</v>
      </c>
      <c r="E31" s="2">
        <f t="shared" si="0"/>
        <v>14902.543278645782</v>
      </c>
      <c r="F31" s="1">
        <f t="shared" si="1"/>
        <v>5399.7955792713165</v>
      </c>
    </row>
    <row r="32" spans="1:6" x14ac:dyDescent="0.2">
      <c r="A32" t="s">
        <v>30</v>
      </c>
      <c r="B32" s="2">
        <v>2022</v>
      </c>
      <c r="C32" s="2">
        <v>3</v>
      </c>
      <c r="D32" s="1">
        <v>184832.9758636558</v>
      </c>
      <c r="E32" s="2">
        <f t="shared" si="0"/>
        <v>-8850.8067097890889</v>
      </c>
      <c r="F32" s="1">
        <f t="shared" si="1"/>
        <v>-1368.3803034604553</v>
      </c>
    </row>
    <row r="33" spans="1:6" x14ac:dyDescent="0.2">
      <c r="A33" t="s">
        <v>31</v>
      </c>
      <c r="B33" s="2">
        <v>2022</v>
      </c>
      <c r="C33" s="2">
        <v>4</v>
      </c>
      <c r="D33" s="1">
        <v>192620.78077406273</v>
      </c>
      <c r="E33" s="2">
        <f t="shared" si="0"/>
        <v>7787.804910406936</v>
      </c>
      <c r="F33" s="1">
        <f t="shared" si="1"/>
        <v>2508.6313691660253</v>
      </c>
    </row>
    <row r="34" spans="1:6" x14ac:dyDescent="0.2">
      <c r="A34" t="s">
        <v>32</v>
      </c>
      <c r="B34" s="2">
        <v>2023</v>
      </c>
      <c r="C34" s="2">
        <v>1</v>
      </c>
      <c r="D34" s="1">
        <v>181072.21197936163</v>
      </c>
      <c r="E34" s="2">
        <f t="shared" si="0"/>
        <v>-11548.568794701103</v>
      </c>
      <c r="F34" s="1">
        <f t="shared" si="1"/>
        <v>-4249.07396041436</v>
      </c>
    </row>
    <row r="35" spans="1:6" x14ac:dyDescent="0.2">
      <c r="A35" t="s">
        <v>33</v>
      </c>
      <c r="B35" s="2">
        <v>2023</v>
      </c>
      <c r="C35" s="2">
        <v>2</v>
      </c>
      <c r="D35" s="1">
        <v>192204.64831610557</v>
      </c>
      <c r="E35" s="2">
        <f t="shared" si="0"/>
        <v>11132.436336743936</v>
      </c>
      <c r="F35" s="1">
        <f t="shared" si="1"/>
        <v>1629.6886373694706</v>
      </c>
    </row>
    <row r="36" spans="1:6" x14ac:dyDescent="0.2">
      <c r="A36" t="s">
        <v>34</v>
      </c>
      <c r="B36" s="2">
        <v>2023</v>
      </c>
      <c r="C36" s="2">
        <v>3</v>
      </c>
      <c r="D36" s="1">
        <v>182115.79487469653</v>
      </c>
      <c r="E36" s="2">
        <f t="shared" si="0"/>
        <v>-10088.853441409039</v>
      </c>
      <c r="F36" s="1">
        <f t="shared" si="1"/>
        <v>-2606.4270350804054</v>
      </c>
    </row>
    <row r="37" spans="1:6" x14ac:dyDescent="0.2">
      <c r="A37" t="s">
        <v>35</v>
      </c>
      <c r="B37" s="2">
        <v>2023</v>
      </c>
      <c r="C37" s="2">
        <v>4</v>
      </c>
      <c r="D37" s="1">
        <v>190337.31917502801</v>
      </c>
      <c r="E37" s="2">
        <f t="shared" si="0"/>
        <v>8221.5243003314827</v>
      </c>
      <c r="F37" s="1">
        <f t="shared" si="1"/>
        <v>2942.350759090572</v>
      </c>
    </row>
    <row r="38" spans="1:6" x14ac:dyDescent="0.2">
      <c r="A38" t="s">
        <v>36</v>
      </c>
      <c r="B38" s="2">
        <v>2024</v>
      </c>
      <c r="C38" s="2">
        <v>1</v>
      </c>
      <c r="D38" s="1">
        <v>180627.77555276945</v>
      </c>
      <c r="E38" s="2">
        <f t="shared" si="0"/>
        <v>-9709.5436222585558</v>
      </c>
      <c r="F38" s="1">
        <f t="shared" si="1"/>
        <v>-2410.048787971813</v>
      </c>
    </row>
    <row r="39" spans="1:6" x14ac:dyDescent="0.2">
      <c r="A39" t="s">
        <v>37</v>
      </c>
      <c r="B39" s="2">
        <v>2024</v>
      </c>
      <c r="C39" s="2">
        <v>2</v>
      </c>
      <c r="D39" s="1">
        <v>194186.84210659502</v>
      </c>
      <c r="E39" s="2">
        <f t="shared" si="0"/>
        <v>13559.066553825571</v>
      </c>
      <c r="F39" s="1">
        <f t="shared" si="1"/>
        <v>4056.3188544511049</v>
      </c>
    </row>
    <row r="40" spans="1:6" x14ac:dyDescent="0.2">
      <c r="A40" t="s">
        <v>38</v>
      </c>
      <c r="B40" s="2">
        <v>2024</v>
      </c>
      <c r="C40" s="2">
        <v>3</v>
      </c>
      <c r="D40" s="1">
        <v>185186.18008066725</v>
      </c>
      <c r="E40" s="2">
        <f t="shared" si="0"/>
        <v>-9000.6620259277697</v>
      </c>
      <c r="F40" s="1">
        <f t="shared" si="1"/>
        <v>-1518.235619599136</v>
      </c>
    </row>
    <row r="41" spans="1:6" x14ac:dyDescent="0.2">
      <c r="A41" t="s">
        <v>39</v>
      </c>
      <c r="B41" s="2">
        <v>2024</v>
      </c>
      <c r="C41" s="2">
        <v>4</v>
      </c>
      <c r="D41" s="1">
        <v>193903.06963141309</v>
      </c>
      <c r="E41" s="2">
        <f t="shared" si="0"/>
        <v>8716.8895507458365</v>
      </c>
      <c r="F41" s="1">
        <f t="shared" si="1"/>
        <v>3437.7160095049258</v>
      </c>
    </row>
    <row r="42" spans="1:6" x14ac:dyDescent="0.2">
      <c r="A42" t="s">
        <v>40</v>
      </c>
      <c r="B42" s="2">
        <v>2025</v>
      </c>
      <c r="C42" s="2">
        <v>1</v>
      </c>
      <c r="D42" s="1">
        <v>184694.47877441274</v>
      </c>
      <c r="E42" s="2">
        <f t="shared" si="0"/>
        <v>-9208.5908570003521</v>
      </c>
      <c r="F42" s="1">
        <f t="shared" si="1"/>
        <v>-1909.0960227136093</v>
      </c>
    </row>
    <row r="43" spans="1:6" x14ac:dyDescent="0.2">
      <c r="A43" t="s">
        <v>41</v>
      </c>
      <c r="B43" s="2">
        <v>2025</v>
      </c>
      <c r="C43" s="2">
        <v>2</v>
      </c>
      <c r="D43" s="1">
        <v>197610.33993097322</v>
      </c>
      <c r="E43" s="2">
        <f t="shared" si="0"/>
        <v>12915.861156560481</v>
      </c>
      <c r="F43" s="1">
        <f t="shared" si="1"/>
        <v>3413.1134571860148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69C6-B362-0A4D-BB42-FED12E010EE4}">
  <dimension ref="A1:J43"/>
  <sheetViews>
    <sheetView tabSelected="1" topLeftCell="A3" workbookViewId="0">
      <selection activeCell="L8" sqref="L8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50</v>
      </c>
      <c r="B1" s="3" t="s">
        <v>43</v>
      </c>
      <c r="C1" s="3" t="s">
        <v>44</v>
      </c>
      <c r="D1" s="3" t="s">
        <v>42</v>
      </c>
      <c r="E1" s="3" t="s">
        <v>45</v>
      </c>
      <c r="F1" s="3" t="s">
        <v>51</v>
      </c>
      <c r="I1" s="3" t="s">
        <v>46</v>
      </c>
    </row>
    <row r="2" spans="1:10" x14ac:dyDescent="0.2">
      <c r="A2" t="s">
        <v>0</v>
      </c>
      <c r="B2" s="2">
        <v>2015</v>
      </c>
      <c r="C2" s="2">
        <v>1</v>
      </c>
      <c r="D2" s="1">
        <v>203587.31108216554</v>
      </c>
      <c r="E2" s="2"/>
      <c r="F2" s="1"/>
      <c r="H2" s="3" t="s">
        <v>44</v>
      </c>
      <c r="I2" s="3" t="s">
        <v>47</v>
      </c>
      <c r="J2" s="3" t="s">
        <v>48</v>
      </c>
    </row>
    <row r="3" spans="1:10" x14ac:dyDescent="0.2">
      <c r="A3" t="s">
        <v>1</v>
      </c>
      <c r="B3" s="2">
        <v>2015</v>
      </c>
      <c r="C3" s="2">
        <v>2</v>
      </c>
      <c r="D3" s="1">
        <v>215808.01816164039</v>
      </c>
      <c r="E3" s="2">
        <f>D3-D2</f>
        <v>12220.707079474843</v>
      </c>
      <c r="F3" s="1">
        <f>E3-_xlfn.XLOOKUP(C3,$H$3:$H$6,$J$3:$J$6)</f>
        <v>-476.51188885878037</v>
      </c>
      <c r="H3">
        <v>1</v>
      </c>
      <c r="I3" s="1">
        <f>AVERAGEIF($C$3:$C$43,1,$E$3:$E$43)</f>
        <v>-8588.5562754142484</v>
      </c>
      <c r="J3" s="1">
        <f>I3-$I$8</f>
        <v>-9753.3142203975331</v>
      </c>
    </row>
    <row r="4" spans="1:10" x14ac:dyDescent="0.2">
      <c r="A4" t="s">
        <v>2</v>
      </c>
      <c r="B4" s="2">
        <v>2015</v>
      </c>
      <c r="C4" s="2">
        <v>3</v>
      </c>
      <c r="D4" s="1">
        <v>208010.14224622143</v>
      </c>
      <c r="E4" s="2">
        <f t="shared" ref="E4:E43" si="0">D4-D3</f>
        <v>-7797.8759154189611</v>
      </c>
      <c r="F4" s="1">
        <f t="shared" ref="F4:F43" si="1">E4-_xlfn.XLOOKUP(C4,$H$3:$H$6,$J$3:$J$6)</f>
        <v>2199.8646856337527</v>
      </c>
      <c r="H4">
        <v>2</v>
      </c>
      <c r="I4" s="1">
        <f>AVERAGEIF($C$3:$C$43,2,$E$3:$E$43)</f>
        <v>13861.976913316908</v>
      </c>
      <c r="J4" s="1">
        <f t="shared" ref="J4:J6" si="2">I4-$I$8</f>
        <v>12697.218968333624</v>
      </c>
    </row>
    <row r="5" spans="1:10" x14ac:dyDescent="0.2">
      <c r="A5" t="s">
        <v>3</v>
      </c>
      <c r="B5" s="2">
        <v>2015</v>
      </c>
      <c r="C5" s="2">
        <v>4</v>
      </c>
      <c r="D5" s="1">
        <v>214595.98348754883</v>
      </c>
      <c r="E5" s="2">
        <f t="shared" si="0"/>
        <v>6585.8412413274054</v>
      </c>
      <c r="F5" s="1">
        <f t="shared" si="1"/>
        <v>-467.99461178921592</v>
      </c>
      <c r="H5">
        <v>3</v>
      </c>
      <c r="I5" s="1">
        <f>AVERAGEIF($C$3:$C$43,3,$E$3:$E$43)</f>
        <v>-8832.9826560694291</v>
      </c>
      <c r="J5" s="1">
        <f t="shared" si="2"/>
        <v>-9997.7406010527138</v>
      </c>
    </row>
    <row r="6" spans="1:10" x14ac:dyDescent="0.2">
      <c r="A6" t="s">
        <v>4</v>
      </c>
      <c r="B6" s="2">
        <v>2016</v>
      </c>
      <c r="C6" s="2">
        <v>1</v>
      </c>
      <c r="D6" s="1">
        <v>207899.62348314916</v>
      </c>
      <c r="E6" s="2">
        <f t="shared" si="0"/>
        <v>-6696.3600043996703</v>
      </c>
      <c r="F6" s="1">
        <f t="shared" si="1"/>
        <v>3056.9542159978628</v>
      </c>
      <c r="H6">
        <v>4</v>
      </c>
      <c r="I6" s="1">
        <f>AVERAGEIF($C$3:$C$43,4,$E$3:$E$43)</f>
        <v>8218.5937980999061</v>
      </c>
      <c r="J6" s="1">
        <f t="shared" si="2"/>
        <v>7053.8358531166214</v>
      </c>
    </row>
    <row r="7" spans="1:10" x14ac:dyDescent="0.2">
      <c r="A7" t="s">
        <v>5</v>
      </c>
      <c r="B7" s="2">
        <v>2016</v>
      </c>
      <c r="C7" s="2">
        <v>2</v>
      </c>
      <c r="D7" s="1">
        <v>221121.85330705406</v>
      </c>
      <c r="E7" s="2">
        <f t="shared" si="0"/>
        <v>13222.229823904898</v>
      </c>
      <c r="F7" s="1">
        <f t="shared" si="1"/>
        <v>525.01085557127408</v>
      </c>
    </row>
    <row r="8" spans="1:10" x14ac:dyDescent="0.2">
      <c r="A8" t="s">
        <v>6</v>
      </c>
      <c r="B8" s="2">
        <v>2016</v>
      </c>
      <c r="C8" s="2">
        <v>3</v>
      </c>
      <c r="D8" s="1">
        <v>212584.73782468442</v>
      </c>
      <c r="E8" s="2">
        <f t="shared" si="0"/>
        <v>-8537.1154823696415</v>
      </c>
      <c r="F8" s="1">
        <f t="shared" si="1"/>
        <v>1460.6251186830723</v>
      </c>
      <c r="H8" s="3" t="s">
        <v>49</v>
      </c>
      <c r="I8" s="1">
        <f>AVERAGE(I3:I6)</f>
        <v>1164.7579449832842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219299.57881825787</v>
      </c>
      <c r="E9" s="2">
        <f t="shared" si="0"/>
        <v>6714.8409935734526</v>
      </c>
      <c r="F9" s="1">
        <f t="shared" si="1"/>
        <v>-338.99485954316879</v>
      </c>
    </row>
    <row r="10" spans="1:10" x14ac:dyDescent="0.2">
      <c r="A10" t="s">
        <v>8</v>
      </c>
      <c r="B10" s="2">
        <v>2017</v>
      </c>
      <c r="C10" s="2">
        <v>1</v>
      </c>
      <c r="D10" s="1">
        <v>214279.11407714561</v>
      </c>
      <c r="E10" s="2">
        <f t="shared" si="0"/>
        <v>-5020.4647411122569</v>
      </c>
      <c r="F10" s="1">
        <f t="shared" si="1"/>
        <v>4732.8494792852762</v>
      </c>
    </row>
    <row r="11" spans="1:10" x14ac:dyDescent="0.2">
      <c r="A11" t="s">
        <v>9</v>
      </c>
      <c r="B11" s="2">
        <v>2017</v>
      </c>
      <c r="C11" s="2">
        <v>2</v>
      </c>
      <c r="D11" s="1">
        <v>227420.44367691904</v>
      </c>
      <c r="E11" s="2">
        <f t="shared" si="0"/>
        <v>13141.329599773424</v>
      </c>
      <c r="F11" s="1">
        <f t="shared" si="1"/>
        <v>444.11063143980027</v>
      </c>
    </row>
    <row r="12" spans="1:10" x14ac:dyDescent="0.2">
      <c r="A12" t="s">
        <v>10</v>
      </c>
      <c r="B12" s="2">
        <v>2017</v>
      </c>
      <c r="C12" s="2">
        <v>3</v>
      </c>
      <c r="D12" s="1">
        <v>218334.65088020501</v>
      </c>
      <c r="E12" s="2">
        <f t="shared" si="0"/>
        <v>-9085.7927967140276</v>
      </c>
      <c r="F12" s="1">
        <f t="shared" si="1"/>
        <v>911.94780433868618</v>
      </c>
    </row>
    <row r="13" spans="1:10" x14ac:dyDescent="0.2">
      <c r="A13" t="s">
        <v>11</v>
      </c>
      <c r="B13" s="2">
        <v>2017</v>
      </c>
      <c r="C13" s="2">
        <v>4</v>
      </c>
      <c r="D13" s="1">
        <v>224866.64023254925</v>
      </c>
      <c r="E13" s="2">
        <f t="shared" si="0"/>
        <v>6531.9893523442443</v>
      </c>
      <c r="F13" s="1">
        <f t="shared" si="1"/>
        <v>-521.84650077237711</v>
      </c>
    </row>
    <row r="14" spans="1:10" x14ac:dyDescent="0.2">
      <c r="A14" t="s">
        <v>12</v>
      </c>
      <c r="B14" s="2">
        <v>2018</v>
      </c>
      <c r="C14" s="2">
        <v>1</v>
      </c>
      <c r="D14" s="1">
        <v>219280.11870382988</v>
      </c>
      <c r="E14" s="2">
        <f t="shared" si="0"/>
        <v>-5586.5215287193714</v>
      </c>
      <c r="F14" s="1">
        <f t="shared" si="1"/>
        <v>4166.7926916781616</v>
      </c>
    </row>
    <row r="15" spans="1:10" x14ac:dyDescent="0.2">
      <c r="A15" t="s">
        <v>13</v>
      </c>
      <c r="B15" s="2">
        <v>2018</v>
      </c>
      <c r="C15" s="2">
        <v>2</v>
      </c>
      <c r="D15" s="1">
        <v>233331.91239938911</v>
      </c>
      <c r="E15" s="2">
        <f t="shared" si="0"/>
        <v>14051.79369555923</v>
      </c>
      <c r="F15" s="1">
        <f t="shared" si="1"/>
        <v>1354.5747272256067</v>
      </c>
    </row>
    <row r="16" spans="1:10" x14ac:dyDescent="0.2">
      <c r="A16" t="s">
        <v>14</v>
      </c>
      <c r="B16" s="2">
        <v>2018</v>
      </c>
      <c r="C16" s="2">
        <v>3</v>
      </c>
      <c r="D16" s="1">
        <v>222797.62617968474</v>
      </c>
      <c r="E16" s="2">
        <f t="shared" si="0"/>
        <v>-10534.286219704372</v>
      </c>
      <c r="F16" s="1">
        <f t="shared" si="1"/>
        <v>-536.54561865165851</v>
      </c>
    </row>
    <row r="17" spans="1:6" x14ac:dyDescent="0.2">
      <c r="A17" t="s">
        <v>15</v>
      </c>
      <c r="B17" s="2">
        <v>2018</v>
      </c>
      <c r="C17" s="2">
        <v>4</v>
      </c>
      <c r="D17" s="1">
        <v>229075.16535658354</v>
      </c>
      <c r="E17" s="2">
        <f t="shared" si="0"/>
        <v>6277.5391768988047</v>
      </c>
      <c r="F17" s="1">
        <f t="shared" si="1"/>
        <v>-776.29667621781664</v>
      </c>
    </row>
    <row r="18" spans="1:6" x14ac:dyDescent="0.2">
      <c r="A18" t="s">
        <v>16</v>
      </c>
      <c r="B18" s="2">
        <v>2019</v>
      </c>
      <c r="C18" s="2">
        <v>1</v>
      </c>
      <c r="D18" s="1">
        <v>224610.72136922245</v>
      </c>
      <c r="E18" s="2">
        <f t="shared" si="0"/>
        <v>-4464.4439873610972</v>
      </c>
      <c r="F18" s="1">
        <f t="shared" si="1"/>
        <v>5288.8702330364358</v>
      </c>
    </row>
    <row r="19" spans="1:6" x14ac:dyDescent="0.2">
      <c r="A19" t="s">
        <v>17</v>
      </c>
      <c r="B19" s="2">
        <v>2019</v>
      </c>
      <c r="C19" s="2">
        <v>2</v>
      </c>
      <c r="D19" s="1">
        <v>238657.37465719692</v>
      </c>
      <c r="E19" s="2">
        <f t="shared" si="0"/>
        <v>14046.653287974477</v>
      </c>
      <c r="F19" s="1">
        <f t="shared" si="1"/>
        <v>1349.4343196408536</v>
      </c>
    </row>
    <row r="20" spans="1:6" x14ac:dyDescent="0.2">
      <c r="A20" t="s">
        <v>18</v>
      </c>
      <c r="B20" s="2">
        <v>2019</v>
      </c>
      <c r="C20" s="2">
        <v>3</v>
      </c>
      <c r="D20" s="1">
        <v>228359.54718639137</v>
      </c>
      <c r="E20" s="2">
        <f t="shared" si="0"/>
        <v>-10297.827470805554</v>
      </c>
      <c r="F20" s="1">
        <f t="shared" si="1"/>
        <v>-300.08686975284036</v>
      </c>
    </row>
    <row r="21" spans="1:6" x14ac:dyDescent="0.2">
      <c r="A21" t="s">
        <v>19</v>
      </c>
      <c r="B21" s="2">
        <v>2019</v>
      </c>
      <c r="C21" s="2">
        <v>4</v>
      </c>
      <c r="D21" s="1">
        <v>234480.05915064149</v>
      </c>
      <c r="E21" s="2">
        <f t="shared" si="0"/>
        <v>6120.5119642501231</v>
      </c>
      <c r="F21" s="1">
        <f t="shared" si="1"/>
        <v>-933.32388886649824</v>
      </c>
    </row>
    <row r="22" spans="1:6" x14ac:dyDescent="0.2">
      <c r="A22" t="s">
        <v>20</v>
      </c>
      <c r="B22" s="2">
        <v>2020</v>
      </c>
      <c r="C22" s="2">
        <v>1</v>
      </c>
      <c r="D22" s="1">
        <v>224051.39606773821</v>
      </c>
      <c r="E22" s="2">
        <f t="shared" si="0"/>
        <v>-10428.66308290328</v>
      </c>
      <c r="F22" s="1">
        <f t="shared" si="1"/>
        <v>-675.34886250574709</v>
      </c>
    </row>
    <row r="23" spans="1:6" x14ac:dyDescent="0.2">
      <c r="A23" t="s">
        <v>21</v>
      </c>
      <c r="B23" s="2">
        <v>2020</v>
      </c>
      <c r="C23" s="2">
        <v>2</v>
      </c>
      <c r="D23" s="1">
        <v>217407.54165509713</v>
      </c>
      <c r="E23" s="2">
        <f t="shared" si="0"/>
        <v>-6643.8544126410852</v>
      </c>
      <c r="F23" s="1">
        <f t="shared" si="1"/>
        <v>-19341.073380974711</v>
      </c>
    </row>
    <row r="24" spans="1:6" x14ac:dyDescent="0.2">
      <c r="A24" t="s">
        <v>22</v>
      </c>
      <c r="B24" s="2">
        <v>2020</v>
      </c>
      <c r="C24" s="2">
        <v>3</v>
      </c>
      <c r="D24" s="1">
        <v>219721.94897480539</v>
      </c>
      <c r="E24" s="2">
        <f t="shared" si="0"/>
        <v>2314.4073197082616</v>
      </c>
      <c r="F24" s="1">
        <f t="shared" si="1"/>
        <v>12312.147920760975</v>
      </c>
    </row>
    <row r="25" spans="1:6" x14ac:dyDescent="0.2">
      <c r="A25" t="s">
        <v>23</v>
      </c>
      <c r="B25" s="2">
        <v>2020</v>
      </c>
      <c r="C25" s="2">
        <v>4</v>
      </c>
      <c r="D25" s="1">
        <v>227557.6436031693</v>
      </c>
      <c r="E25" s="2">
        <f t="shared" si="0"/>
        <v>7835.6946283639118</v>
      </c>
      <c r="F25" s="1">
        <f t="shared" si="1"/>
        <v>781.8587752472904</v>
      </c>
    </row>
    <row r="26" spans="1:6" x14ac:dyDescent="0.2">
      <c r="A26" t="s">
        <v>24</v>
      </c>
      <c r="B26" s="2">
        <v>2021</v>
      </c>
      <c r="C26" s="2">
        <v>1</v>
      </c>
      <c r="D26" s="1">
        <v>221588.89605332626</v>
      </c>
      <c r="E26" s="2">
        <f t="shared" si="0"/>
        <v>-5968.7475498430431</v>
      </c>
      <c r="F26" s="1">
        <f t="shared" si="1"/>
        <v>3784.56667055449</v>
      </c>
    </row>
    <row r="27" spans="1:6" x14ac:dyDescent="0.2">
      <c r="A27" t="s">
        <v>25</v>
      </c>
      <c r="B27" s="2">
        <v>2021</v>
      </c>
      <c r="C27" s="2">
        <v>2</v>
      </c>
      <c r="D27" s="1">
        <v>243869.99272945363</v>
      </c>
      <c r="E27" s="2">
        <f t="shared" si="0"/>
        <v>22281.096676127374</v>
      </c>
      <c r="F27" s="1">
        <f t="shared" si="1"/>
        <v>9583.8777077937502</v>
      </c>
    </row>
    <row r="28" spans="1:6" x14ac:dyDescent="0.2">
      <c r="A28" t="s">
        <v>26</v>
      </c>
      <c r="B28" s="2">
        <v>2021</v>
      </c>
      <c r="C28" s="2">
        <v>3</v>
      </c>
      <c r="D28" s="1">
        <v>236811.4787716422</v>
      </c>
      <c r="E28" s="2">
        <f t="shared" si="0"/>
        <v>-7058.5139578114322</v>
      </c>
      <c r="F28" s="1">
        <f t="shared" si="1"/>
        <v>2939.2266432412816</v>
      </c>
    </row>
    <row r="29" spans="1:6" x14ac:dyDescent="0.2">
      <c r="A29" t="s">
        <v>27</v>
      </c>
      <c r="B29" s="2">
        <v>2021</v>
      </c>
      <c r="C29" s="2">
        <v>4</v>
      </c>
      <c r="D29" s="1">
        <v>245892.74311405534</v>
      </c>
      <c r="E29" s="2">
        <f t="shared" si="0"/>
        <v>9081.2643424131384</v>
      </c>
      <c r="F29" s="1">
        <f t="shared" si="1"/>
        <v>2027.428489296517</v>
      </c>
    </row>
    <row r="30" spans="1:6" x14ac:dyDescent="0.2">
      <c r="A30" t="s">
        <v>28</v>
      </c>
      <c r="B30" s="2">
        <v>2022</v>
      </c>
      <c r="C30" s="2">
        <v>1</v>
      </c>
      <c r="D30" s="1">
        <v>238880.85999647703</v>
      </c>
      <c r="E30" s="2">
        <f t="shared" si="0"/>
        <v>-7011.8831175783125</v>
      </c>
      <c r="F30" s="1">
        <f t="shared" si="1"/>
        <v>2741.4311028192205</v>
      </c>
    </row>
    <row r="31" spans="1:6" x14ac:dyDescent="0.2">
      <c r="A31" t="s">
        <v>29</v>
      </c>
      <c r="B31" s="2">
        <v>2022</v>
      </c>
      <c r="C31" s="2">
        <v>2</v>
      </c>
      <c r="D31" s="1">
        <v>258793.08551062905</v>
      </c>
      <c r="E31" s="2">
        <f t="shared" si="0"/>
        <v>19912.225514152029</v>
      </c>
      <c r="F31" s="1">
        <f t="shared" si="1"/>
        <v>7215.0065458184054</v>
      </c>
    </row>
    <row r="32" spans="1:6" x14ac:dyDescent="0.2">
      <c r="A32" t="s">
        <v>30</v>
      </c>
      <c r="B32" s="2">
        <v>2022</v>
      </c>
      <c r="C32" s="2">
        <v>3</v>
      </c>
      <c r="D32" s="1">
        <v>246966.96590861265</v>
      </c>
      <c r="E32" s="2">
        <f t="shared" si="0"/>
        <v>-11826.119602016406</v>
      </c>
      <c r="F32" s="1">
        <f t="shared" si="1"/>
        <v>-1828.3790009636923</v>
      </c>
    </row>
    <row r="33" spans="1:6" x14ac:dyDescent="0.2">
      <c r="A33" t="s">
        <v>31</v>
      </c>
      <c r="B33" s="2">
        <v>2022</v>
      </c>
      <c r="C33" s="2">
        <v>4</v>
      </c>
      <c r="D33" s="1">
        <v>257372.74193869813</v>
      </c>
      <c r="E33" s="2">
        <f t="shared" si="0"/>
        <v>10405.776030085486</v>
      </c>
      <c r="F33" s="1">
        <f t="shared" si="1"/>
        <v>3351.9401769688648</v>
      </c>
    </row>
    <row r="34" spans="1:6" x14ac:dyDescent="0.2">
      <c r="A34" t="s">
        <v>32</v>
      </c>
      <c r="B34" s="2">
        <v>2023</v>
      </c>
      <c r="C34" s="2">
        <v>1</v>
      </c>
      <c r="D34" s="1">
        <v>241941.97271319959</v>
      </c>
      <c r="E34" s="2">
        <f t="shared" si="0"/>
        <v>-15430.769225498545</v>
      </c>
      <c r="F34" s="1">
        <f t="shared" si="1"/>
        <v>-5677.4550051010119</v>
      </c>
    </row>
    <row r="35" spans="1:6" x14ac:dyDescent="0.2">
      <c r="A35" t="s">
        <v>33</v>
      </c>
      <c r="B35" s="2">
        <v>2023</v>
      </c>
      <c r="C35" s="2">
        <v>2</v>
      </c>
      <c r="D35" s="1">
        <v>256816.721184947</v>
      </c>
      <c r="E35" s="2">
        <f t="shared" si="0"/>
        <v>14874.748471747414</v>
      </c>
      <c r="F35" s="1">
        <f t="shared" si="1"/>
        <v>2177.5295034137907</v>
      </c>
    </row>
    <row r="36" spans="1:6" x14ac:dyDescent="0.2">
      <c r="A36" t="s">
        <v>34</v>
      </c>
      <c r="B36" s="2">
        <v>2023</v>
      </c>
      <c r="C36" s="2">
        <v>3</v>
      </c>
      <c r="D36" s="1">
        <v>243336.36946589322</v>
      </c>
      <c r="E36" s="2">
        <f t="shared" si="0"/>
        <v>-13480.351719053782</v>
      </c>
      <c r="F36" s="1">
        <f t="shared" si="1"/>
        <v>-3482.6111180010685</v>
      </c>
    </row>
    <row r="37" spans="1:6" x14ac:dyDescent="0.2">
      <c r="A37" t="s">
        <v>35</v>
      </c>
      <c r="B37" s="2">
        <v>2023</v>
      </c>
      <c r="C37" s="2">
        <v>4</v>
      </c>
      <c r="D37" s="1">
        <v>254321.66525583158</v>
      </c>
      <c r="E37" s="2">
        <f t="shared" si="0"/>
        <v>10985.295789938362</v>
      </c>
      <c r="F37" s="1">
        <f t="shared" si="1"/>
        <v>3931.4599368217405</v>
      </c>
    </row>
    <row r="38" spans="1:6" x14ac:dyDescent="0.2">
      <c r="A38" t="s">
        <v>36</v>
      </c>
      <c r="B38" s="2">
        <v>2024</v>
      </c>
      <c r="C38" s="2">
        <v>1</v>
      </c>
      <c r="D38" s="1">
        <v>241348.13324650342</v>
      </c>
      <c r="E38" s="2">
        <f t="shared" si="0"/>
        <v>-12973.532009328163</v>
      </c>
      <c r="F38" s="1">
        <f t="shared" si="1"/>
        <v>-3220.2177889306295</v>
      </c>
    </row>
    <row r="39" spans="1:6" x14ac:dyDescent="0.2">
      <c r="A39" t="s">
        <v>37</v>
      </c>
      <c r="B39" s="2">
        <v>2024</v>
      </c>
      <c r="C39" s="2">
        <v>2</v>
      </c>
      <c r="D39" s="1">
        <v>259465.25499766442</v>
      </c>
      <c r="E39" s="2">
        <f t="shared" si="0"/>
        <v>18117.121751161001</v>
      </c>
      <c r="F39" s="1">
        <f t="shared" si="1"/>
        <v>5419.9027828273775</v>
      </c>
    </row>
    <row r="40" spans="1:6" x14ac:dyDescent="0.2">
      <c r="A40" t="s">
        <v>38</v>
      </c>
      <c r="B40" s="2">
        <v>2024</v>
      </c>
      <c r="C40" s="2">
        <v>3</v>
      </c>
      <c r="D40" s="1">
        <v>247438.90428115605</v>
      </c>
      <c r="E40" s="2">
        <f t="shared" si="0"/>
        <v>-12026.350716508372</v>
      </c>
      <c r="F40" s="1">
        <f t="shared" si="1"/>
        <v>-2028.6101154556582</v>
      </c>
    </row>
    <row r="41" spans="1:6" x14ac:dyDescent="0.2">
      <c r="A41" t="s">
        <v>39</v>
      </c>
      <c r="B41" s="2">
        <v>2024</v>
      </c>
      <c r="C41" s="2">
        <v>4</v>
      </c>
      <c r="D41" s="1">
        <v>259086.08874296019</v>
      </c>
      <c r="E41" s="2">
        <f t="shared" si="0"/>
        <v>11647.184461804136</v>
      </c>
      <c r="F41" s="1">
        <f t="shared" si="1"/>
        <v>4593.3486086875146</v>
      </c>
    </row>
    <row r="42" spans="1:6" x14ac:dyDescent="0.2">
      <c r="A42" t="s">
        <v>40</v>
      </c>
      <c r="B42" s="2">
        <v>2025</v>
      </c>
      <c r="C42" s="2">
        <v>1</v>
      </c>
      <c r="D42" s="1">
        <v>246781.91123556145</v>
      </c>
      <c r="E42" s="2">
        <f t="shared" si="0"/>
        <v>-12304.177507398737</v>
      </c>
      <c r="F42" s="1">
        <f t="shared" si="1"/>
        <v>-2550.8632870012043</v>
      </c>
    </row>
    <row r="43" spans="1:6" x14ac:dyDescent="0.2">
      <c r="A43" t="s">
        <v>41</v>
      </c>
      <c r="B43" s="2">
        <v>2025</v>
      </c>
      <c r="C43" s="2">
        <v>2</v>
      </c>
      <c r="D43" s="1">
        <v>264039.60579481383</v>
      </c>
      <c r="E43" s="2">
        <f t="shared" si="0"/>
        <v>17257.694559252384</v>
      </c>
      <c r="F43" s="1">
        <f t="shared" si="1"/>
        <v>4560.4755909187606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 Removing Trend and Season</vt:lpstr>
      <vt:lpstr>02 Constant Prices</vt:lpstr>
      <vt:lpstr>02 GVA Const 2020 in Const 2016</vt:lpstr>
      <vt:lpstr>02 GVA Const 2020 in Const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2025-12-22T19:14:09Z</dcterms:modified>
</cp:coreProperties>
</file>