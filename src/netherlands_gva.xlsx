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8D712139-C96D-AD45-B3AF-41D7A9F9BF9E}" xr6:coauthVersionLast="47" xr6:coauthVersionMax="47" xr10:uidLastSave="{00000000-0000-0000-0000-000000000000}"/>
  <bookViews>
    <workbookView xWindow="0" yWindow="500" windowWidth="38400" windowHeight="19400" firstSheet="2" activeTab="4" xr2:uid="{C63F3EB8-08D2-414D-8217-7DA2F26F8F2E}"/>
  </bookViews>
  <sheets>
    <sheet name="01 Removing Trend and Season" sheetId="1" r:id="rId1"/>
    <sheet name="02 Constant Prices" sheetId="4" r:id="rId2"/>
    <sheet name="02 GVA Const 2020 in Const 2016" sheetId="5" r:id="rId3"/>
    <sheet name="02 GVA Const 2020 in Const 2024" sheetId="6" r:id="rId4"/>
    <sheet name="03 Linear Trend" sheetId="7" r:id="rId5"/>
    <sheet name="03 DA Linear Model" sheetId="23" r:id="rId6"/>
    <sheet name="03 Power Trend" sheetId="25" r:id="rId7"/>
    <sheet name="03 DA Power Model" sheetId="26" r:id="rId8"/>
    <sheet name="03 Exponential Trend" sheetId="27" r:id="rId9"/>
    <sheet name="03 DA Exponential Model" sheetId="28" r:id="rId10"/>
    <sheet name="04 Quadratic Trend" sheetId="29" r:id="rId11"/>
    <sheet name="04 Logistic Trend" sheetId="31" r:id="rId12"/>
    <sheet name="04 Summary" sheetId="30" r:id="rId13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Prices'!$K$8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0" l="1"/>
  <c r="J6" i="30" s="1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40" i="30"/>
  <c r="F41" i="30"/>
  <c r="F42" i="30"/>
  <c r="F43" i="30"/>
  <c r="F2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E33" i="31"/>
  <c r="E34" i="31"/>
  <c r="E35" i="31"/>
  <c r="E36" i="31"/>
  <c r="E37" i="31"/>
  <c r="E38" i="31"/>
  <c r="E39" i="31"/>
  <c r="E40" i="31"/>
  <c r="E41" i="31"/>
  <c r="E42" i="31"/>
  <c r="E43" i="31"/>
  <c r="E2" i="31"/>
  <c r="L9" i="25"/>
  <c r="J10" i="25"/>
  <c r="L10" i="25" s="1"/>
  <c r="N10" i="25" s="1"/>
  <c r="I5" i="30"/>
  <c r="I4" i="30"/>
  <c r="I3" i="30"/>
  <c r="I2" i="30"/>
  <c r="E3" i="30"/>
  <c r="E4" i="30"/>
  <c r="E5" i="30"/>
  <c r="E6" i="30"/>
  <c r="E7" i="30"/>
  <c r="E8" i="30"/>
  <c r="E9" i="30"/>
  <c r="E10" i="30"/>
  <c r="E11" i="30"/>
  <c r="E12" i="30"/>
  <c r="E13" i="30"/>
  <c r="E14" i="30"/>
  <c r="E15" i="30"/>
  <c r="E16" i="30"/>
  <c r="E17" i="30"/>
  <c r="E18" i="30"/>
  <c r="E19" i="30"/>
  <c r="E20" i="30"/>
  <c r="E21" i="30"/>
  <c r="E22" i="30"/>
  <c r="E23" i="30"/>
  <c r="E24" i="30"/>
  <c r="E25" i="30"/>
  <c r="E26" i="30"/>
  <c r="E27" i="30"/>
  <c r="E28" i="30"/>
  <c r="E29" i="30"/>
  <c r="E30" i="30"/>
  <c r="E31" i="30"/>
  <c r="E32" i="30"/>
  <c r="E33" i="30"/>
  <c r="E34" i="30"/>
  <c r="E35" i="30"/>
  <c r="E36" i="30"/>
  <c r="E37" i="30"/>
  <c r="E38" i="30"/>
  <c r="E39" i="30"/>
  <c r="E40" i="30"/>
  <c r="E41" i="30"/>
  <c r="E42" i="30"/>
  <c r="E43" i="30"/>
  <c r="E2" i="30"/>
  <c r="D3" i="30"/>
  <c r="D4" i="30"/>
  <c r="D5" i="30"/>
  <c r="D6" i="30"/>
  <c r="D7" i="30"/>
  <c r="D8" i="30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" i="30"/>
  <c r="C3" i="3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2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2" i="30"/>
  <c r="Z43" i="25"/>
  <c r="Y45" i="29"/>
  <c r="Y41" i="29"/>
  <c r="Z39" i="27"/>
  <c r="Z35" i="27"/>
  <c r="Z35" i="25"/>
  <c r="K3" i="29"/>
  <c r="K4" i="29"/>
  <c r="K5" i="29"/>
  <c r="K6" i="29"/>
  <c r="K7" i="29"/>
  <c r="K8" i="29"/>
  <c r="Y49" i="29" s="1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33" i="29"/>
  <c r="K34" i="29"/>
  <c r="K35" i="29"/>
  <c r="K36" i="29"/>
  <c r="K37" i="29"/>
  <c r="K38" i="29"/>
  <c r="K39" i="29"/>
  <c r="K40" i="29"/>
  <c r="K41" i="29"/>
  <c r="K42" i="29"/>
  <c r="K43" i="29"/>
  <c r="K2" i="29"/>
  <c r="V33" i="29"/>
  <c r="R12" i="29" a="1"/>
  <c r="R12" i="29" s="1"/>
  <c r="P12" i="29" a="1"/>
  <c r="P12" i="29" s="1"/>
  <c r="T7" i="29" a="1"/>
  <c r="T7" i="29" s="1"/>
  <c r="P7" i="29" a="1"/>
  <c r="P7" i="29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2" i="29"/>
  <c r="H43" i="29"/>
  <c r="E43" i="29"/>
  <c r="H42" i="29"/>
  <c r="E42" i="29"/>
  <c r="H41" i="29"/>
  <c r="E41" i="29"/>
  <c r="H40" i="29"/>
  <c r="E40" i="29"/>
  <c r="H39" i="29"/>
  <c r="E39" i="29"/>
  <c r="H38" i="29"/>
  <c r="E38" i="29"/>
  <c r="H37" i="29"/>
  <c r="E37" i="29"/>
  <c r="H36" i="29"/>
  <c r="E36" i="29"/>
  <c r="H35" i="29"/>
  <c r="E35" i="29"/>
  <c r="H34" i="29"/>
  <c r="E34" i="29"/>
  <c r="H33" i="29"/>
  <c r="E33" i="29"/>
  <c r="H32" i="29"/>
  <c r="E32" i="29"/>
  <c r="H31" i="29"/>
  <c r="E31" i="29"/>
  <c r="H30" i="29"/>
  <c r="E30" i="29"/>
  <c r="H29" i="29"/>
  <c r="E29" i="29"/>
  <c r="H28" i="29"/>
  <c r="E28" i="29"/>
  <c r="H27" i="29"/>
  <c r="E27" i="29"/>
  <c r="H26" i="29"/>
  <c r="E26" i="29"/>
  <c r="H25" i="29"/>
  <c r="E25" i="29"/>
  <c r="H24" i="29"/>
  <c r="E24" i="29"/>
  <c r="H23" i="29"/>
  <c r="E23" i="29"/>
  <c r="H22" i="29"/>
  <c r="E22" i="29"/>
  <c r="H21" i="29"/>
  <c r="E21" i="29"/>
  <c r="H20" i="29"/>
  <c r="E20" i="29"/>
  <c r="H19" i="29"/>
  <c r="E19" i="29"/>
  <c r="H18" i="29"/>
  <c r="E18" i="29"/>
  <c r="H17" i="29"/>
  <c r="E17" i="29"/>
  <c r="H16" i="29"/>
  <c r="E16" i="29"/>
  <c r="H15" i="29"/>
  <c r="E15" i="29"/>
  <c r="H14" i="29"/>
  <c r="E14" i="29"/>
  <c r="H13" i="29"/>
  <c r="E13" i="29"/>
  <c r="H12" i="29"/>
  <c r="E12" i="29"/>
  <c r="H11" i="29"/>
  <c r="E11" i="29"/>
  <c r="H10" i="29"/>
  <c r="E10" i="29"/>
  <c r="H9" i="29"/>
  <c r="E9" i="29"/>
  <c r="H8" i="29"/>
  <c r="E8" i="29"/>
  <c r="H7" i="29"/>
  <c r="E7" i="29"/>
  <c r="H6" i="29"/>
  <c r="E6" i="29"/>
  <c r="H5" i="29"/>
  <c r="E5" i="29"/>
  <c r="H4" i="29"/>
  <c r="E4" i="29"/>
  <c r="H3" i="29"/>
  <c r="E3" i="29"/>
  <c r="H2" i="29"/>
  <c r="P2" i="29" s="1" a="1"/>
  <c r="P2" i="29" s="1"/>
  <c r="E2" i="29"/>
  <c r="Z43" i="27"/>
  <c r="W43" i="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2" i="27"/>
  <c r="H3" i="27"/>
  <c r="H4" i="27"/>
  <c r="H5" i="27"/>
  <c r="H6" i="27"/>
  <c r="H7" i="27"/>
  <c r="Q2" i="27" s="1" a="1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2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N3" i="25"/>
  <c r="N4" i="25"/>
  <c r="N5" i="25"/>
  <c r="N6" i="25"/>
  <c r="N7" i="25"/>
  <c r="N8" i="25"/>
  <c r="N9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2" i="25"/>
  <c r="L43" i="25"/>
  <c r="L3" i="25"/>
  <c r="L4" i="25"/>
  <c r="L5" i="25"/>
  <c r="L6" i="25"/>
  <c r="L7" i="25"/>
  <c r="L8" i="25"/>
  <c r="L11" i="25"/>
  <c r="L12" i="25"/>
  <c r="L13" i="25"/>
  <c r="L14" i="25"/>
  <c r="L15" i="25"/>
  <c r="L16" i="25"/>
  <c r="L17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2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2" i="25"/>
  <c r="W39" i="7"/>
  <c r="W35" i="7"/>
  <c r="J3" i="30" l="1"/>
  <c r="J5" i="30"/>
  <c r="J4" i="30"/>
  <c r="J2" i="30"/>
  <c r="L1" i="31"/>
  <c r="L4" i="31"/>
  <c r="L2" i="31"/>
  <c r="L6" i="31"/>
  <c r="L5" i="31"/>
  <c r="Z39" i="25"/>
  <c r="Q2" i="27"/>
  <c r="Q10" i="27" s="1" a="1"/>
  <c r="Q10" i="27" s="1"/>
  <c r="Q2" i="25" a="1"/>
  <c r="Q2" i="25" s="1"/>
  <c r="Q10" i="25" s="1" a="1"/>
  <c r="Q10" i="25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2" i="7"/>
  <c r="G3" i="31" l="1"/>
  <c r="G11" i="31"/>
  <c r="G19" i="31"/>
  <c r="G27" i="31"/>
  <c r="G35" i="31"/>
  <c r="G43" i="31"/>
  <c r="G14" i="31"/>
  <c r="G24" i="31"/>
  <c r="G25" i="31"/>
  <c r="G42" i="31"/>
  <c r="G4" i="31"/>
  <c r="G12" i="31"/>
  <c r="G20" i="31"/>
  <c r="G28" i="31"/>
  <c r="G36" i="31"/>
  <c r="G2" i="31"/>
  <c r="G22" i="31"/>
  <c r="G16" i="31"/>
  <c r="G33" i="31"/>
  <c r="G34" i="31"/>
  <c r="G5" i="31"/>
  <c r="G13" i="31"/>
  <c r="G21" i="31"/>
  <c r="G29" i="31"/>
  <c r="G37" i="31"/>
  <c r="G30" i="31"/>
  <c r="G8" i="31"/>
  <c r="G41" i="31"/>
  <c r="G26" i="31"/>
  <c r="G6" i="31"/>
  <c r="G38" i="31"/>
  <c r="G32" i="31"/>
  <c r="G17" i="31"/>
  <c r="G18" i="31"/>
  <c r="G7" i="31"/>
  <c r="G15" i="31"/>
  <c r="G23" i="31"/>
  <c r="G31" i="31"/>
  <c r="G39" i="31"/>
  <c r="G40" i="31"/>
  <c r="G9" i="31"/>
  <c r="G10" i="31"/>
  <c r="Q6" i="27" a="1"/>
  <c r="Q6" i="25" a="1"/>
  <c r="Q6" i="25" s="1"/>
  <c r="T6" i="25" s="1" a="1"/>
  <c r="O2" i="7" a="1"/>
  <c r="O2" i="7" s="1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I6" i="6"/>
  <c r="E6" i="6"/>
  <c r="I3" i="6" s="1"/>
  <c r="E5" i="6"/>
  <c r="I4" i="6"/>
  <c r="E4" i="6"/>
  <c r="I5" i="6" s="1"/>
  <c r="E3" i="6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I6" i="5" s="1"/>
  <c r="E8" i="5"/>
  <c r="E7" i="5"/>
  <c r="E6" i="5"/>
  <c r="E5" i="5"/>
  <c r="E4" i="5"/>
  <c r="I5" i="5" s="1"/>
  <c r="I3" i="5"/>
  <c r="E3" i="5"/>
  <c r="I4" i="5" s="1"/>
  <c r="F5" i="4"/>
  <c r="F7" i="4"/>
  <c r="F8" i="4" s="1"/>
  <c r="F9" i="4" s="1"/>
  <c r="F10" i="4" s="1"/>
  <c r="K7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Q6" i="27" l="1"/>
  <c r="T6" i="27" a="1"/>
  <c r="S10" i="25" a="1"/>
  <c r="T6" i="25"/>
  <c r="O10" i="7" a="1"/>
  <c r="O10" i="7" s="1"/>
  <c r="O6" i="7" a="1"/>
  <c r="F11" i="4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I8" i="6"/>
  <c r="J3" i="6" s="1"/>
  <c r="J5" i="6"/>
  <c r="F20" i="6" s="1"/>
  <c r="J4" i="6"/>
  <c r="F31" i="6" s="1"/>
  <c r="I8" i="5"/>
  <c r="J3" i="5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V32" i="29" l="1"/>
  <c r="T6" i="27"/>
  <c r="S10" i="27" a="1"/>
  <c r="S10" i="25"/>
  <c r="V28" i="25"/>
  <c r="O6" i="7"/>
  <c r="R6" i="7" a="1"/>
  <c r="J6" i="6"/>
  <c r="J8" i="6" s="1"/>
  <c r="F11" i="6"/>
  <c r="J5" i="5"/>
  <c r="F8" i="5" s="1"/>
  <c r="F18" i="6"/>
  <c r="F22" i="6"/>
  <c r="F42" i="6"/>
  <c r="F10" i="6"/>
  <c r="F26" i="6"/>
  <c r="F34" i="6"/>
  <c r="F30" i="6"/>
  <c r="F6" i="6"/>
  <c r="F14" i="6"/>
  <c r="F38" i="6"/>
  <c r="F28" i="6"/>
  <c r="F21" i="6"/>
  <c r="F32" i="6"/>
  <c r="F41" i="6"/>
  <c r="F12" i="6"/>
  <c r="F37" i="6"/>
  <c r="F25" i="6"/>
  <c r="F5" i="6"/>
  <c r="F24" i="6"/>
  <c r="F35" i="6"/>
  <c r="F16" i="6"/>
  <c r="F27" i="6"/>
  <c r="F7" i="6"/>
  <c r="F39" i="6"/>
  <c r="F40" i="6"/>
  <c r="F36" i="6"/>
  <c r="F33" i="6"/>
  <c r="F9" i="6"/>
  <c r="F4" i="6"/>
  <c r="F43" i="6"/>
  <c r="F8" i="6"/>
  <c r="F3" i="6"/>
  <c r="F15" i="6"/>
  <c r="F19" i="6"/>
  <c r="F23" i="6"/>
  <c r="F30" i="5"/>
  <c r="F6" i="5"/>
  <c r="F26" i="5"/>
  <c r="F18" i="5"/>
  <c r="F14" i="5"/>
  <c r="F10" i="5"/>
  <c r="F38" i="5"/>
  <c r="F34" i="5"/>
  <c r="F22" i="5"/>
  <c r="F42" i="5"/>
  <c r="F28" i="5"/>
  <c r="F24" i="5"/>
  <c r="F4" i="5"/>
  <c r="F20" i="5"/>
  <c r="F32" i="5"/>
  <c r="F16" i="5"/>
  <c r="F36" i="5"/>
  <c r="F12" i="5"/>
  <c r="F40" i="5"/>
  <c r="J4" i="5"/>
  <c r="J8" i="5" s="1"/>
  <c r="J6" i="5"/>
  <c r="K8" i="4"/>
  <c r="I3" i="1"/>
  <c r="I6" i="1"/>
  <c r="I4" i="1"/>
  <c r="I5" i="1"/>
  <c r="M34" i="29" l="1"/>
  <c r="M30" i="29"/>
  <c r="M27" i="29"/>
  <c r="M23" i="29"/>
  <c r="M20" i="29"/>
  <c r="M41" i="29"/>
  <c r="M16" i="29"/>
  <c r="M14" i="29"/>
  <c r="M12" i="29"/>
  <c r="M9" i="29"/>
  <c r="M7" i="29"/>
  <c r="M6" i="29"/>
  <c r="M4" i="29"/>
  <c r="M43" i="29"/>
  <c r="M39" i="29"/>
  <c r="M37" i="29"/>
  <c r="M35" i="29"/>
  <c r="M33" i="29"/>
  <c r="M31" i="29"/>
  <c r="M29" i="29"/>
  <c r="V31" i="29"/>
  <c r="M26" i="29"/>
  <c r="M24" i="29"/>
  <c r="M21" i="29"/>
  <c r="M19" i="29"/>
  <c r="M17" i="29"/>
  <c r="M42" i="29"/>
  <c r="M40" i="29"/>
  <c r="M28" i="29"/>
  <c r="M22" i="29"/>
  <c r="M15" i="29"/>
  <c r="M13" i="29"/>
  <c r="M11" i="29"/>
  <c r="M10" i="29"/>
  <c r="M8" i="29"/>
  <c r="M5" i="29"/>
  <c r="M3" i="29"/>
  <c r="M25" i="29"/>
  <c r="M18" i="29"/>
  <c r="M38" i="29"/>
  <c r="M36" i="29"/>
  <c r="M32" i="29"/>
  <c r="V28" i="27"/>
  <c r="S10" i="27"/>
  <c r="V27" i="27" s="1"/>
  <c r="V27" i="25"/>
  <c r="R6" i="7"/>
  <c r="Q10" i="7" s="1" a="1"/>
  <c r="T28" i="7" s="1"/>
  <c r="F17" i="6"/>
  <c r="F29" i="6"/>
  <c r="F13" i="6"/>
  <c r="F9" i="5"/>
  <c r="F5" i="5"/>
  <c r="F13" i="5"/>
  <c r="F33" i="5"/>
  <c r="F25" i="5"/>
  <c r="F17" i="5"/>
  <c r="F29" i="5"/>
  <c r="F21" i="5"/>
  <c r="F37" i="5"/>
  <c r="F41" i="5"/>
  <c r="F7" i="5"/>
  <c r="F3" i="5"/>
  <c r="F15" i="5"/>
  <c r="F27" i="5"/>
  <c r="F35" i="5"/>
  <c r="F23" i="5"/>
  <c r="F39" i="5"/>
  <c r="F11" i="5"/>
  <c r="F31" i="5"/>
  <c r="F19" i="5"/>
  <c r="F43" i="5"/>
  <c r="I8" i="1"/>
  <c r="J5" i="1" s="1"/>
  <c r="M2" i="29" l="1"/>
  <c r="P19" i="29" s="1"/>
  <c r="R19" i="29" s="1"/>
  <c r="L11" i="27"/>
  <c r="N11" i="27" s="1"/>
  <c r="L43" i="27"/>
  <c r="N43" i="27" s="1"/>
  <c r="L35" i="27"/>
  <c r="N35" i="27" s="1"/>
  <c r="L23" i="27"/>
  <c r="N23" i="27" s="1"/>
  <c r="L19" i="27"/>
  <c r="N19" i="27" s="1"/>
  <c r="L13" i="27"/>
  <c r="N13" i="27" s="1"/>
  <c r="L9" i="27"/>
  <c r="N9" i="27" s="1"/>
  <c r="L5" i="27"/>
  <c r="N5" i="27" s="1"/>
  <c r="L38" i="27"/>
  <c r="N38" i="27" s="1"/>
  <c r="L30" i="27"/>
  <c r="N30" i="27" s="1"/>
  <c r="L28" i="27"/>
  <c r="N28" i="27" s="1"/>
  <c r="L26" i="27"/>
  <c r="N26" i="27" s="1"/>
  <c r="L16" i="27"/>
  <c r="N16" i="27" s="1"/>
  <c r="L2" i="27"/>
  <c r="N2" i="27" s="1"/>
  <c r="L41" i="27"/>
  <c r="N41" i="27" s="1"/>
  <c r="L33" i="27"/>
  <c r="N33" i="27" s="1"/>
  <c r="L36" i="27"/>
  <c r="N36" i="27" s="1"/>
  <c r="L24" i="27"/>
  <c r="N24" i="27" s="1"/>
  <c r="L20" i="27"/>
  <c r="N20" i="27" s="1"/>
  <c r="L14" i="27"/>
  <c r="N14" i="27" s="1"/>
  <c r="L10" i="27"/>
  <c r="N10" i="27" s="1"/>
  <c r="L6" i="27"/>
  <c r="N6" i="27" s="1"/>
  <c r="L39" i="27"/>
  <c r="N39" i="27" s="1"/>
  <c r="L31" i="27"/>
  <c r="N31" i="27" s="1"/>
  <c r="L27" i="27"/>
  <c r="N27" i="27" s="1"/>
  <c r="L40" i="27"/>
  <c r="N40" i="27" s="1"/>
  <c r="L32" i="27"/>
  <c r="N32" i="27" s="1"/>
  <c r="L22" i="27"/>
  <c r="N22" i="27" s="1"/>
  <c r="L17" i="27"/>
  <c r="N17" i="27" s="1"/>
  <c r="L7" i="27"/>
  <c r="N7" i="27" s="1"/>
  <c r="L3" i="27"/>
  <c r="N3" i="27" s="1"/>
  <c r="L42" i="27"/>
  <c r="N42" i="27" s="1"/>
  <c r="L34" i="27"/>
  <c r="N34" i="27" s="1"/>
  <c r="L18" i="27"/>
  <c r="N18" i="27" s="1"/>
  <c r="L12" i="27"/>
  <c r="N12" i="27" s="1"/>
  <c r="L8" i="27"/>
  <c r="N8" i="27" s="1"/>
  <c r="L4" i="27"/>
  <c r="N4" i="27" s="1"/>
  <c r="L37" i="27"/>
  <c r="N37" i="27" s="1"/>
  <c r="L29" i="27"/>
  <c r="N29" i="27" s="1"/>
  <c r="L25" i="27"/>
  <c r="N25" i="27" s="1"/>
  <c r="L21" i="27"/>
  <c r="N21" i="27" s="1"/>
  <c r="L15" i="27"/>
  <c r="N15" i="27" s="1"/>
  <c r="J3" i="25"/>
  <c r="J11" i="25"/>
  <c r="J19" i="25"/>
  <c r="J27" i="25"/>
  <c r="J35" i="25"/>
  <c r="J43" i="25"/>
  <c r="J39" i="25"/>
  <c r="J16" i="25"/>
  <c r="J33" i="25"/>
  <c r="J26" i="25"/>
  <c r="J4" i="25"/>
  <c r="J12" i="25"/>
  <c r="J20" i="25"/>
  <c r="J28" i="25"/>
  <c r="J36" i="25"/>
  <c r="J2" i="25"/>
  <c r="Q16" i="25" s="1"/>
  <c r="S16" i="25" s="1"/>
  <c r="J31" i="25"/>
  <c r="J24" i="25"/>
  <c r="J25" i="25"/>
  <c r="J5" i="25"/>
  <c r="J13" i="25"/>
  <c r="J21" i="25"/>
  <c r="J29" i="25"/>
  <c r="J37" i="25"/>
  <c r="J15" i="25"/>
  <c r="J40" i="25"/>
  <c r="J17" i="25"/>
  <c r="J34" i="25"/>
  <c r="J6" i="25"/>
  <c r="J14" i="25"/>
  <c r="J22" i="25"/>
  <c r="J30" i="25"/>
  <c r="J38" i="25"/>
  <c r="J23" i="25"/>
  <c r="J32" i="25"/>
  <c r="J41" i="25"/>
  <c r="J18" i="25"/>
  <c r="J7" i="25"/>
  <c r="J8" i="25"/>
  <c r="J42" i="25"/>
  <c r="J9" i="25"/>
  <c r="Q10" i="7"/>
  <c r="T27" i="7" s="1"/>
  <c r="J6" i="1"/>
  <c r="J4" i="1"/>
  <c r="F32" i="1"/>
  <c r="F40" i="1"/>
  <c r="F4" i="1"/>
  <c r="F24" i="1"/>
  <c r="F16" i="1"/>
  <c r="F36" i="1"/>
  <c r="F28" i="1"/>
  <c r="F20" i="1"/>
  <c r="F12" i="1"/>
  <c r="F8" i="1"/>
  <c r="J3" i="1"/>
  <c r="Q26" i="29" l="1"/>
  <c r="Q33" i="29" s="1"/>
  <c r="R26" i="29"/>
  <c r="R33" i="29" s="1"/>
  <c r="W33" i="29" s="1"/>
  <c r="X33" i="29" s="1"/>
  <c r="Y33" i="29" s="1"/>
  <c r="Q24" i="29"/>
  <c r="Q31" i="29" s="1"/>
  <c r="P24" i="29"/>
  <c r="P31" i="29" s="1"/>
  <c r="W31" i="29" s="1"/>
  <c r="X31" i="29" s="1"/>
  <c r="Y31" i="29" s="1"/>
  <c r="R24" i="29"/>
  <c r="R31" i="29" s="1"/>
  <c r="P25" i="29"/>
  <c r="P32" i="29" s="1"/>
  <c r="Q25" i="29"/>
  <c r="Q32" i="29" s="1"/>
  <c r="W32" i="29" s="1"/>
  <c r="X32" i="29" s="1"/>
  <c r="Y32" i="29" s="1"/>
  <c r="R25" i="29"/>
  <c r="R32" i="29" s="1"/>
  <c r="P26" i="29"/>
  <c r="P33" i="29" s="1"/>
  <c r="Q16" i="27"/>
  <c r="S16" i="27" s="1"/>
  <c r="R21" i="25"/>
  <c r="R27" i="25" s="1"/>
  <c r="Q21" i="25"/>
  <c r="Q27" i="25" s="1"/>
  <c r="W27" i="25" s="1"/>
  <c r="X27" i="25" s="1"/>
  <c r="Y27" i="25" s="1"/>
  <c r="R22" i="25"/>
  <c r="R28" i="25" s="1"/>
  <c r="W28" i="25" s="1"/>
  <c r="X28" i="25" s="1"/>
  <c r="Y28" i="25" s="1"/>
  <c r="Q22" i="25"/>
  <c r="Q28" i="25" s="1"/>
  <c r="J26" i="7"/>
  <c r="L26" i="7" s="1"/>
  <c r="J13" i="7"/>
  <c r="L13" i="7" s="1"/>
  <c r="J28" i="7"/>
  <c r="L28" i="7" s="1"/>
  <c r="J22" i="7"/>
  <c r="L22" i="7" s="1"/>
  <c r="J36" i="7"/>
  <c r="L36" i="7" s="1"/>
  <c r="J18" i="7"/>
  <c r="L18" i="7" s="1"/>
  <c r="J17" i="7"/>
  <c r="L17" i="7" s="1"/>
  <c r="J43" i="7"/>
  <c r="L43" i="7" s="1"/>
  <c r="J4" i="7"/>
  <c r="L4" i="7" s="1"/>
  <c r="J23" i="7"/>
  <c r="L23" i="7" s="1"/>
  <c r="J30" i="7"/>
  <c r="L30" i="7" s="1"/>
  <c r="J38" i="7"/>
  <c r="L38" i="7" s="1"/>
  <c r="J11" i="7"/>
  <c r="L11" i="7" s="1"/>
  <c r="J20" i="7"/>
  <c r="L20" i="7" s="1"/>
  <c r="J10" i="7"/>
  <c r="L10" i="7" s="1"/>
  <c r="J12" i="7"/>
  <c r="L12" i="7" s="1"/>
  <c r="J32" i="7"/>
  <c r="L32" i="7" s="1"/>
  <c r="J14" i="7"/>
  <c r="L14" i="7" s="1"/>
  <c r="J29" i="7"/>
  <c r="L29" i="7" s="1"/>
  <c r="J37" i="7"/>
  <c r="L37" i="7" s="1"/>
  <c r="J9" i="7"/>
  <c r="L9" i="7" s="1"/>
  <c r="J3" i="7"/>
  <c r="L3" i="7" s="1"/>
  <c r="J8" i="7"/>
  <c r="L8" i="7" s="1"/>
  <c r="J31" i="7"/>
  <c r="L31" i="7" s="1"/>
  <c r="J41" i="7"/>
  <c r="L41" i="7" s="1"/>
  <c r="J21" i="7"/>
  <c r="L21" i="7" s="1"/>
  <c r="J33" i="7"/>
  <c r="L33" i="7" s="1"/>
  <c r="J7" i="7"/>
  <c r="L7" i="7" s="1"/>
  <c r="J15" i="7"/>
  <c r="L15" i="7" s="1"/>
  <c r="J25" i="7"/>
  <c r="L25" i="7" s="1"/>
  <c r="J2" i="7"/>
  <c r="L2" i="7" s="1"/>
  <c r="J6" i="7"/>
  <c r="L6" i="7" s="1"/>
  <c r="J40" i="7"/>
  <c r="L40" i="7" s="1"/>
  <c r="J35" i="7"/>
  <c r="L35" i="7" s="1"/>
  <c r="J16" i="7"/>
  <c r="L16" i="7" s="1"/>
  <c r="J19" i="7"/>
  <c r="L19" i="7" s="1"/>
  <c r="J5" i="7"/>
  <c r="L5" i="7" s="1"/>
  <c r="J24" i="7"/>
  <c r="L24" i="7" s="1"/>
  <c r="J27" i="7"/>
  <c r="L27" i="7" s="1"/>
  <c r="J39" i="7"/>
  <c r="L39" i="7" s="1"/>
  <c r="J42" i="7"/>
  <c r="L42" i="7" s="1"/>
  <c r="J34" i="7"/>
  <c r="L34" i="7" s="1"/>
  <c r="F11" i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  <c r="R21" i="27" l="1"/>
  <c r="R27" i="27" s="1"/>
  <c r="R22" i="27"/>
  <c r="R28" i="27" s="1"/>
  <c r="W28" i="27" s="1"/>
  <c r="X28" i="27" s="1"/>
  <c r="Y28" i="27" s="1"/>
  <c r="Q21" i="27"/>
  <c r="Q27" i="27" s="1"/>
  <c r="W27" i="27" s="1"/>
  <c r="X27" i="27" s="1"/>
  <c r="Y27" i="27" s="1"/>
  <c r="Q22" i="27"/>
  <c r="Q28" i="27" s="1"/>
  <c r="O16" i="7"/>
  <c r="Q16" i="7" s="1"/>
  <c r="O22" i="7" s="1"/>
  <c r="O28" i="7" s="1"/>
  <c r="P21" i="7" l="1"/>
  <c r="P27" i="7" s="1"/>
  <c r="O21" i="7"/>
  <c r="O27" i="7" s="1"/>
  <c r="U27" i="7" s="1"/>
  <c r="V27" i="7" s="1"/>
  <c r="W27" i="7" s="1"/>
  <c r="P22" i="7"/>
  <c r="P28" i="7" s="1"/>
  <c r="U28" i="7" s="1"/>
  <c r="V28" i="7" s="1"/>
  <c r="W28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<sst xmlns="http://schemas.openxmlformats.org/spreadsheetml/2006/main" count="346" uniqueCount="112">
  <si>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</si>
  <si>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</si>
  <si>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</si>
  <si>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</si>
  <si>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</si>
  <si>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</si>
  <si>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</si>
  <si>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</si>
  <si>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</si>
  <si>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</si>
  <si>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</si>
  <si>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</si>
  <si>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</si>
  <si>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</si>
  <si>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</si>
  <si>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</si>
  <si>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</si>
  <si>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</si>
  <si>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</si>
  <si>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</si>
  <si>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</si>
  <si>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</si>
  <si>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</si>
  <si>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</si>
  <si>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</si>
  <si>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</si>
  <si>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</si>
  <si>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</si>
  <si>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</si>
  <si>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</si>
  <si>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</si>
  <si>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</si>
  <si>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</si>
  <si>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</si>
  <si>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</si>
  <si>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</si>
  <si>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</si>
  <si>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</si>
  <si>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</si>
  <si>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</si>
  <si>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</si>
  <si>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</si>
  <si>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</si>
  <si>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</si>
  <si>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</si>
  <si>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indicators</t>
  </si>
  <si>
    <t>raw</t>
  </si>
  <si>
    <t>cleaned</t>
  </si>
  <si>
    <t>average</t>
  </si>
  <si>
    <t>t</t>
  </si>
  <si>
    <t>chainIndex</t>
  </si>
  <si>
    <t>gvaConst2020</t>
  </si>
  <si>
    <t>Netherlands GVA in current prices in 2024</t>
  </si>
  <si>
    <t>Netherlands GVA in current prices in 2016</t>
  </si>
  <si>
    <t>gvaConst2020InConst2016</t>
  </si>
  <si>
    <t>gvaConst2020InConst2024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</si>
  <si>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</si>
  <si>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</si>
  <si>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</si>
  <si>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</si>
  <si>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</si>
  <si>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</si>
  <si>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</si>
  <si>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</si>
  <si>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</si>
  <si>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</si>
  <si>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</si>
  <si>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</si>
  <si>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</si>
  <si>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</si>
  <si>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</si>
  <si>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</si>
  <si>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</si>
  <si>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</si>
  <si>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</si>
  <si>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</si>
  <si>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</si>
  <si>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</si>
  <si>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</si>
  <si>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</si>
  <si>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</si>
  <si>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GVA</t>
  </si>
  <si>
    <t>time</t>
  </si>
  <si>
    <t>Linear model formula</t>
  </si>
  <si>
    <t>Statistically significant</t>
  </si>
  <si>
    <t>If the p-value is less than 0.1, we conclude that the parameter is statistically significant.</t>
  </si>
  <si>
    <t>Average velocity</t>
  </si>
  <si>
    <t>Gross value added in the Netherlands changed quarter by quarter by PLN 2,695.59.</t>
  </si>
  <si>
    <t>Gross value added in the Netherlands changed quarter by quarter by 1,37%.</t>
  </si>
  <si>
    <t>Power model formula</t>
  </si>
  <si>
    <t>Exponential model formula</t>
  </si>
  <si>
    <t>Variance in model</t>
  </si>
  <si>
    <t>Not statistically significant so we do not consider this parameter</t>
  </si>
  <si>
    <t>Because parameter is not statistycally significant.</t>
  </si>
  <si>
    <t>Gross value added in the Netherlands changed quarter by quarter by PLN 1,524.07.</t>
  </si>
  <si>
    <t>Gross value added in the Netherlands changed quarter by quarter by 0,78%.</t>
  </si>
  <si>
    <t>Average speed</t>
  </si>
  <si>
    <t>Gross value added in the Netherlands changed quarter by quarter by PLN 2,606.82.</t>
  </si>
  <si>
    <t>Gross value added in the Netherlands changed quarter by quarter by 1,33%.</t>
  </si>
  <si>
    <t>Exact speed</t>
  </si>
  <si>
    <t>Gross value added in the Netherlands changed quarter by quarter by 1,39%.</t>
  </si>
  <si>
    <t>Rests of Power Model</t>
  </si>
  <si>
    <t>Rests of Exponential Model</t>
  </si>
  <si>
    <t>Rests of Quadratic Model</t>
  </si>
  <si>
    <t>Rests of Logistic Model</t>
  </si>
  <si>
    <t>TIME</t>
  </si>
  <si>
    <t>Rests of Linear Model</t>
  </si>
  <si>
    <t>Variance</t>
  </si>
  <si>
    <t>Y</t>
  </si>
  <si>
    <t>\hat{Y}</t>
  </si>
  <si>
    <t>reszty</t>
  </si>
  <si>
    <t>Quadratic Model describes Netherlands GVA in the most appropriate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</si>
</sst>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/>
    <xf numFmtId="0" fontId="3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0" fontId="5" fillId="0" borderId="4" xfId="0" applyFont="1" applyBorder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Linear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2-6740-B7F3-87FD574224A5}"/>
            </c:ext>
          </c:extLst>
        </c:ser>
        <c:ser>
          <c:idx val="1"/>
          <c:order val="1"/>
          <c:tx>
            <c:v>Linear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Trend'!$J$2:$J$43</c:f>
              <c:numCache>
                <c:formatCode>0.00</c:formatCode>
                <c:ptCount val="42"/>
                <c:pt idx="0">
                  <c:v>141613.78405315607</c:v>
                </c:pt>
                <c:pt idx="1">
                  <c:v>144309.37646868156</c:v>
                </c:pt>
                <c:pt idx="2">
                  <c:v>147004.96888420702</c:v>
                </c:pt>
                <c:pt idx="3">
                  <c:v>149700.56129973251</c:v>
                </c:pt>
                <c:pt idx="4">
                  <c:v>152396.153715258</c:v>
                </c:pt>
                <c:pt idx="5">
                  <c:v>155091.74613078346</c:v>
                </c:pt>
                <c:pt idx="6">
                  <c:v>157787.33854630895</c:v>
                </c:pt>
                <c:pt idx="7">
                  <c:v>160482.93096183444</c:v>
                </c:pt>
                <c:pt idx="8">
                  <c:v>163178.52337735993</c:v>
                </c:pt>
                <c:pt idx="9">
                  <c:v>165874.11579288542</c:v>
                </c:pt>
                <c:pt idx="10">
                  <c:v>168569.70820841088</c:v>
                </c:pt>
                <c:pt idx="11">
                  <c:v>171265.30062393637</c:v>
                </c:pt>
                <c:pt idx="12">
                  <c:v>173960.89303946187</c:v>
                </c:pt>
                <c:pt idx="13">
                  <c:v>176656.48545498733</c:v>
                </c:pt>
                <c:pt idx="14">
                  <c:v>179352.07787051282</c:v>
                </c:pt>
                <c:pt idx="15">
                  <c:v>182047.67028603831</c:v>
                </c:pt>
                <c:pt idx="16">
                  <c:v>184743.2627015638</c:v>
                </c:pt>
                <c:pt idx="17">
                  <c:v>187438.85511708929</c:v>
                </c:pt>
                <c:pt idx="18">
                  <c:v>190134.44753261475</c:v>
                </c:pt>
                <c:pt idx="19">
                  <c:v>192830.03994814024</c:v>
                </c:pt>
                <c:pt idx="20">
                  <c:v>195525.63236366573</c:v>
                </c:pt>
                <c:pt idx="21">
                  <c:v>198221.22477919119</c:v>
                </c:pt>
                <c:pt idx="22">
                  <c:v>200916.81719471668</c:v>
                </c:pt>
                <c:pt idx="23">
                  <c:v>203612.40961024218</c:v>
                </c:pt>
                <c:pt idx="24">
                  <c:v>206308.00202576767</c:v>
                </c:pt>
                <c:pt idx="25">
                  <c:v>209003.59444129316</c:v>
                </c:pt>
                <c:pt idx="26">
                  <c:v>211699.18685681862</c:v>
                </c:pt>
                <c:pt idx="27">
                  <c:v>214394.77927234411</c:v>
                </c:pt>
                <c:pt idx="28">
                  <c:v>217090.3716878696</c:v>
                </c:pt>
                <c:pt idx="29">
                  <c:v>219785.96410339506</c:v>
                </c:pt>
                <c:pt idx="30">
                  <c:v>222481.55651892055</c:v>
                </c:pt>
                <c:pt idx="31">
                  <c:v>225177.14893444604</c:v>
                </c:pt>
                <c:pt idx="32">
                  <c:v>227872.74134997153</c:v>
                </c:pt>
                <c:pt idx="33">
                  <c:v>230568.33376549702</c:v>
                </c:pt>
                <c:pt idx="34">
                  <c:v>233263.92618102249</c:v>
                </c:pt>
                <c:pt idx="35">
                  <c:v>235959.51859654798</c:v>
                </c:pt>
                <c:pt idx="36">
                  <c:v>238655.11101207347</c:v>
                </c:pt>
                <c:pt idx="37">
                  <c:v>241350.70342759893</c:v>
                </c:pt>
                <c:pt idx="38">
                  <c:v>244046.29584312442</c:v>
                </c:pt>
                <c:pt idx="39">
                  <c:v>246741.88825864991</c:v>
                </c:pt>
                <c:pt idx="40">
                  <c:v>249437.4806741754</c:v>
                </c:pt>
                <c:pt idx="41">
                  <c:v>252133.07308970089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2-6740-B7F3-87FD57422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Power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D-8447-83AC-785ADE5FAA82}"/>
            </c:ext>
          </c:extLst>
        </c:ser>
        <c:ser>
          <c:idx val="1"/>
          <c:order val="1"/>
          <c:tx>
            <c:v>Power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Trend'!$J$2:$J$43</c:f>
              <c:numCache>
                <c:formatCode>0.00</c:formatCode>
                <c:ptCount val="42"/>
                <c:pt idx="0">
                  <c:v>123283.41958627796</c:v>
                </c:pt>
                <c:pt idx="1">
                  <c:v>137914.27241632305</c:v>
                </c:pt>
                <c:pt idx="2">
                  <c:v>147265.00021294839</c:v>
                </c:pt>
                <c:pt idx="3">
                  <c:v>154281.46461181401</c:v>
                </c:pt>
                <c:pt idx="4">
                  <c:v>159953.26629354409</c:v>
                </c:pt>
                <c:pt idx="5">
                  <c:v>164741.90466906084</c:v>
                </c:pt>
                <c:pt idx="6">
                  <c:v>168902.31552385434</c:v>
                </c:pt>
                <c:pt idx="7">
                  <c:v>172591.05896533164</c:v>
                </c:pt>
                <c:pt idx="8">
                  <c:v>175911.57319044345</c:v>
                </c:pt>
                <c:pt idx="9">
                  <c:v>178935.97059132735</c:v>
                </c:pt>
                <c:pt idx="10">
                  <c:v>181716.6405539308</c:v>
                </c:pt>
                <c:pt idx="11">
                  <c:v>184292.9081230778</c:v>
                </c:pt>
                <c:pt idx="12">
                  <c:v>186695.08642222994</c:v>
                </c:pt>
                <c:pt idx="13">
                  <c:v>188947.06224953977</c:v>
                </c:pt>
                <c:pt idx="14">
                  <c:v>191068.01120401762</c:v>
                </c:pt>
                <c:pt idx="15">
                  <c:v>193073.5730939749</c:v>
                </c:pt>
                <c:pt idx="16">
                  <c:v>194976.68012350338</c:v>
                </c:pt>
                <c:pt idx="17">
                  <c:v>196788.15454329835</c:v>
                </c:pt>
                <c:pt idx="18">
                  <c:v>198517.1490098447</c:v>
                </c:pt>
                <c:pt idx="19">
                  <c:v>200171.47704068266</c:v>
                </c:pt>
                <c:pt idx="20">
                  <c:v>201757.86504835411</c:v>
                </c:pt>
                <c:pt idx="21">
                  <c:v>203282.14736447259</c:v>
                </c:pt>
                <c:pt idx="22">
                  <c:v>204749.41912270564</c:v>
                </c:pt>
                <c:pt idx="23">
                  <c:v>206164.15752075342</c:v>
                </c:pt>
                <c:pt idx="24">
                  <c:v>207530.3190310043</c:v>
                </c:pt>
                <c:pt idx="25">
                  <c:v>208851.41809037115</c:v>
                </c:pt>
                <c:pt idx="26">
                  <c:v>210130.59136651459</c:v>
                </c:pt>
                <c:pt idx="27">
                  <c:v>211370.65067464605</c:v>
                </c:pt>
                <c:pt idx="28">
                  <c:v>212574.12687859274</c:v>
                </c:pt>
                <c:pt idx="29">
                  <c:v>213743.30656682191</c:v>
                </c:pt>
                <c:pt idx="30">
                  <c:v>214880.26289119865</c:v>
                </c:pt>
                <c:pt idx="31">
                  <c:v>215986.88165394706</c:v>
                </c:pt>
                <c:pt idx="32">
                  <c:v>217064.88349913887</c:v>
                </c:pt>
                <c:pt idx="33">
                  <c:v>218115.84288968018</c:v>
                </c:pt>
                <c:pt idx="34">
                  <c:v>219141.2044153774</c:v>
                </c:pt>
                <c:pt idx="35">
                  <c:v>220142.29687226107</c:v>
                </c:pt>
                <c:pt idx="36">
                  <c:v>221120.34547064229</c:v>
                </c:pt>
                <c:pt idx="37">
                  <c:v>222076.4824640122</c:v>
                </c:pt>
                <c:pt idx="38">
                  <c:v>223011.75643887059</c:v>
                </c:pt>
                <c:pt idx="39">
                  <c:v>223927.14046390061</c:v>
                </c:pt>
                <c:pt idx="40">
                  <c:v>224823.5392633192</c:v>
                </c:pt>
                <c:pt idx="41">
                  <c:v>225701.79555200736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D-8447-83AC-785ADE5F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Exponential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E-FA4B-974C-16285187AEB3}"/>
            </c:ext>
          </c:extLst>
        </c:ser>
        <c:ser>
          <c:idx val="1"/>
          <c:order val="1"/>
          <c:tx>
            <c:v>Exponential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Trend'!$J$2:$J$43</c:f>
              <c:numCache>
                <c:formatCode>0.00</c:formatCode>
                <c:ptCount val="42"/>
                <c:pt idx="0">
                  <c:v>147347.0178152452</c:v>
                </c:pt>
                <c:pt idx="1">
                  <c:v>149339.69450248897</c:v>
                </c:pt>
                <c:pt idx="2">
                  <c:v>151359.31954904669</c:v>
                </c:pt>
                <c:pt idx="3">
                  <c:v>153406.25739641217</c:v>
                </c:pt>
                <c:pt idx="4">
                  <c:v>155480.87741467712</c:v>
                </c:pt>
                <c:pt idx="5">
                  <c:v>157583.55396918298</c:v>
                </c:pt>
                <c:pt idx="6">
                  <c:v>159714.66648807455</c:v>
                </c:pt>
                <c:pt idx="7">
                  <c:v>161874.59953076942</c:v>
                </c:pt>
                <c:pt idx="8">
                  <c:v>164063.74285735062</c:v>
                </c:pt>
                <c:pt idx="9">
                  <c:v>166282.49149889912</c:v>
                </c:pt>
                <c:pt idx="10">
                  <c:v>168531.24582877758</c:v>
                </c:pt>
                <c:pt idx="11">
                  <c:v>170810.41163487648</c:v>
                </c:pt>
                <c:pt idx="12">
                  <c:v>173120.40019284043</c:v>
                </c:pt>
                <c:pt idx="13">
                  <c:v>175461.62834028204</c:v>
                </c:pt>
                <c:pt idx="14">
                  <c:v>177834.51855199921</c:v>
                </c:pt>
                <c:pt idx="15">
                  <c:v>180239.49901621274</c:v>
                </c:pt>
                <c:pt idx="16">
                  <c:v>182677.00371183164</c:v>
                </c:pt>
                <c:pt idx="17">
                  <c:v>185147.47248676495</c:v>
                </c:pt>
                <c:pt idx="18">
                  <c:v>187651.35113729278</c:v>
                </c:pt>
                <c:pt idx="19">
                  <c:v>190189.09148850865</c:v>
                </c:pt>
                <c:pt idx="20">
                  <c:v>192761.15147585381</c:v>
                </c:pt>
                <c:pt idx="21">
                  <c:v>195367.99522775027</c:v>
                </c:pt>
                <c:pt idx="22">
                  <c:v>198010.09314935209</c:v>
                </c:pt>
                <c:pt idx="23">
                  <c:v>200687.92200743203</c:v>
                </c:pt>
                <c:pt idx="24">
                  <c:v>203401.96501641261</c:v>
                </c:pt>
                <c:pt idx="25">
                  <c:v>206152.71192556276</c:v>
                </c:pt>
                <c:pt idx="26">
                  <c:v>208940.6591073733</c:v>
                </c:pt>
                <c:pt idx="27">
                  <c:v>211766.30964712609</c:v>
                </c:pt>
                <c:pt idx="28">
                  <c:v>214630.17343367779</c:v>
                </c:pt>
                <c:pt idx="29">
                  <c:v>217532.76725146853</c:v>
                </c:pt>
                <c:pt idx="30">
                  <c:v>220474.61487377432</c:v>
                </c:pt>
                <c:pt idx="31">
                  <c:v>223456.24715722431</c:v>
                </c:pt>
                <c:pt idx="32">
                  <c:v>226478.20213759251</c:v>
                </c:pt>
                <c:pt idx="33">
                  <c:v>229541.02512688661</c:v>
                </c:pt>
                <c:pt idx="34">
                  <c:v>232645.26881175008</c:v>
                </c:pt>
                <c:pt idx="35">
                  <c:v>235791.49335319287</c:v>
                </c:pt>
                <c:pt idx="36">
                  <c:v>238980.26648767493</c:v>
                </c:pt>
                <c:pt idx="37">
                  <c:v>242212.16362955305</c:v>
                </c:pt>
                <c:pt idx="38">
                  <c:v>245487.76797491324</c:v>
                </c:pt>
                <c:pt idx="39">
                  <c:v>248807.67060681095</c:v>
                </c:pt>
                <c:pt idx="40">
                  <c:v>252172.47060193052</c:v>
                </c:pt>
                <c:pt idx="41">
                  <c:v>255582.77513868877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AE-FA4B-974C-16285187A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Quadratic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8-8B44-B5C2-19E83BB0453C}"/>
            </c:ext>
          </c:extLst>
        </c:ser>
        <c:ser>
          <c:idx val="1"/>
          <c:order val="1"/>
          <c:tx>
            <c:v>Quadratic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Trend'!$K$2:$K$43</c:f>
              <c:numCache>
                <c:formatCode>0.00</c:formatCode>
                <c:ptCount val="42"/>
                <c:pt idx="0">
                  <c:v>157572.51226694367</c:v>
                </c:pt>
                <c:pt idx="1">
                  <c:v>157749.42363223748</c:v>
                </c:pt>
                <c:pt idx="2">
                  <c:v>158044.27590772716</c:v>
                </c:pt>
                <c:pt idx="3">
                  <c:v>158457.06909341272</c:v>
                </c:pt>
                <c:pt idx="4">
                  <c:v>158987.80318929412</c:v>
                </c:pt>
                <c:pt idx="5">
                  <c:v>159636.47819537143</c:v>
                </c:pt>
                <c:pt idx="6">
                  <c:v>160403.09411164458</c:v>
                </c:pt>
                <c:pt idx="7">
                  <c:v>161287.65093811363</c:v>
                </c:pt>
                <c:pt idx="8">
                  <c:v>162290.14867477852</c:v>
                </c:pt>
                <c:pt idx="9">
                  <c:v>163410.58732163932</c:v>
                </c:pt>
                <c:pt idx="10">
                  <c:v>164648.96687869597</c:v>
                </c:pt>
                <c:pt idx="11">
                  <c:v>166005.28734594851</c:v>
                </c:pt>
                <c:pt idx="12">
                  <c:v>167479.5487233969</c:v>
                </c:pt>
                <c:pt idx="13">
                  <c:v>169071.75101104117</c:v>
                </c:pt>
                <c:pt idx="14">
                  <c:v>170781.89420888131</c:v>
                </c:pt>
                <c:pt idx="15">
                  <c:v>172609.97831691732</c:v>
                </c:pt>
                <c:pt idx="16">
                  <c:v>174556.0033351492</c:v>
                </c:pt>
                <c:pt idx="17">
                  <c:v>176619.96926357696</c:v>
                </c:pt>
                <c:pt idx="18">
                  <c:v>178801.87610220059</c:v>
                </c:pt>
                <c:pt idx="19">
                  <c:v>181101.7238510201</c:v>
                </c:pt>
                <c:pt idx="20">
                  <c:v>183519.51251003545</c:v>
                </c:pt>
                <c:pt idx="21">
                  <c:v>186055.2420792467</c:v>
                </c:pt>
                <c:pt idx="22">
                  <c:v>188708.9125586538</c:v>
                </c:pt>
                <c:pt idx="23">
                  <c:v>191480.5239482568</c:v>
                </c:pt>
                <c:pt idx="24">
                  <c:v>194370.07624805567</c:v>
                </c:pt>
                <c:pt idx="25">
                  <c:v>197377.56945805039</c:v>
                </c:pt>
                <c:pt idx="26">
                  <c:v>200503.00357824098</c:v>
                </c:pt>
                <c:pt idx="27">
                  <c:v>203746.37860862748</c:v>
                </c:pt>
                <c:pt idx="28">
                  <c:v>207107.69454920982</c:v>
                </c:pt>
                <c:pt idx="29">
                  <c:v>210586.95139998803</c:v>
                </c:pt>
                <c:pt idx="30">
                  <c:v>214184.14916096212</c:v>
                </c:pt>
                <c:pt idx="31">
                  <c:v>217899.28783213207</c:v>
                </c:pt>
                <c:pt idx="32">
                  <c:v>221732.36741349791</c:v>
                </c:pt>
                <c:pt idx="33">
                  <c:v>225683.38790505962</c:v>
                </c:pt>
                <c:pt idx="34">
                  <c:v>229752.34930681717</c:v>
                </c:pt>
                <c:pt idx="35">
                  <c:v>233939.25161877065</c:v>
                </c:pt>
                <c:pt idx="36">
                  <c:v>238244.09484091995</c:v>
                </c:pt>
                <c:pt idx="37">
                  <c:v>242666.87897326515</c:v>
                </c:pt>
                <c:pt idx="38">
                  <c:v>247207.60401580622</c:v>
                </c:pt>
                <c:pt idx="39">
                  <c:v>251866.26996854314</c:v>
                </c:pt>
                <c:pt idx="40">
                  <c:v>256642.87683147594</c:v>
                </c:pt>
                <c:pt idx="41">
                  <c:v>261537.42460460463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08-8B44-B5C2-19E83BB0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Logistic Trend </a:t>
            </a:r>
            <a:r>
              <a:rPr lang="en-GB" b="1"/>
              <a:t>of</a:t>
            </a:r>
            <a:r>
              <a:rPr lang="en-GB" b="1" baseline="0"/>
              <a:t>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6-8049-8C9A-EA47FDED9210}"/>
            </c:ext>
          </c:extLst>
        </c:ser>
        <c:ser>
          <c:idx val="1"/>
          <c:order val="1"/>
          <c:tx>
            <c:v>Logistic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Trend'!$G$2:$G$43</c:f>
              <c:numCache>
                <c:formatCode>General</c:formatCode>
                <c:ptCount val="42"/>
                <c:pt idx="0">
                  <c:v>170242.9562692625</c:v>
                </c:pt>
                <c:pt idx="1">
                  <c:v>174311.8401549228</c:v>
                </c:pt>
                <c:pt idx="2">
                  <c:v>178302.96056283545</c:v>
                </c:pt>
                <c:pt idx="3">
                  <c:v>182210.20674089607</c:v>
                </c:pt>
                <c:pt idx="4">
                  <c:v>186028.07415616905</c:v>
                </c:pt>
                <c:pt idx="5">
                  <c:v>189751.68174520897</c:v>
                </c:pt>
                <c:pt idx="6">
                  <c:v>193376.78076892253</c:v>
                </c:pt>
                <c:pt idx="7">
                  <c:v>196899.75567265012</c:v>
                </c:pt>
                <c:pt idx="8">
                  <c:v>200317.61749622138</c:v>
                </c:pt>
                <c:pt idx="9">
                  <c:v>203627.99049493615</c:v>
                </c:pt>
                <c:pt idx="10">
                  <c:v>206829.09271958427</c:v>
                </c:pt>
                <c:pt idx="11">
                  <c:v>209919.71136190384</c:v>
                </c:pt>
                <c:pt idx="12">
                  <c:v>212899.17370260382</c:v>
                </c:pt>
                <c:pt idx="13">
                  <c:v>215767.31450450409</c:v>
                </c:pt>
                <c:pt idx="14">
                  <c:v>218524.44067641901</c:v>
                </c:pt>
                <c:pt idx="15">
                  <c:v>221171.29399754983</c:v>
                </c:pt>
                <c:pt idx="16">
                  <c:v>223709.01264099989</c:v>
                </c:pt>
                <c:pt idx="17">
                  <c:v>226139.09217226517</c:v>
                </c:pt>
                <c:pt idx="18">
                  <c:v>228463.34662772706</c:v>
                </c:pt>
                <c:pt idx="19">
                  <c:v>230683.87020256181</c:v>
                </c:pt>
                <c:pt idx="20">
                  <c:v>232803</c:v>
                </c:pt>
                <c:pt idx="21">
                  <c:v>234823.28021702197</c:v>
                </c:pt>
                <c:pt idx="22">
                  <c:v>236747.42806740856</c:v>
                </c:pt>
                <c:pt idx="23">
                  <c:v>238578.30167320042</c:v>
                </c:pt>
                <c:pt idx="24">
                  <c:v>240318.87009122278</c:v>
                </c:pt>
                <c:pt idx="25">
                  <c:v>241972.18558321311</c:v>
                </c:pt>
                <c:pt idx="26">
                  <c:v>243541.35818668711</c:v>
                </c:pt>
                <c:pt idx="27">
                  <c:v>245029.53259915416</c:v>
                </c:pt>
                <c:pt idx="28">
                  <c:v>246439.86735057316</c:v>
                </c:pt>
                <c:pt idx="29">
                  <c:v>247775.51620773852</c:v>
                </c:pt>
                <c:pt idx="30">
                  <c:v>249039.61172921862</c:v>
                </c:pt>
                <c:pt idx="31">
                  <c:v>250235.25087000392</c:v>
                </c:pt>
                <c:pt idx="32">
                  <c:v>251365.48252062281</c:v>
                </c:pt>
                <c:pt idx="33">
                  <c:v>252433.29685553469</c:v>
                </c:pt>
                <c:pt idx="34">
                  <c:v>253441.61635953127</c:v>
                </c:pt>
                <c:pt idx="35">
                  <c:v>254393.28839808679</c:v>
                </c:pt>
                <c:pt idx="36">
                  <c:v>255291.07919754382</c:v>
                </c:pt>
                <c:pt idx="37">
                  <c:v>256137.66910320439</c:v>
                </c:pt>
                <c:pt idx="38">
                  <c:v>256935.64898735058</c:v>
                </c:pt>
                <c:pt idx="39">
                  <c:v>257687.5176845371</c:v>
                </c:pt>
                <c:pt idx="40">
                  <c:v>258395.68033782439</c:v>
                </c:pt>
                <c:pt idx="41">
                  <c:v>259062.44754664085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C6-8049-8C9A-EA47FDED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6969280"/>
        <c:axId val="1077340960"/>
      </c:lineChart>
      <c:catAx>
        <c:axId val="1076969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7340960"/>
        <c:crosses val="autoZero"/>
        <c:auto val="1"/>
        <c:lblAlgn val="ctr"/>
        <c:lblOffset val="100"/>
        <c:noMultiLvlLbl val="0"/>
      </c:catAx>
      <c:valAx>
        <c:axId val="1077340960"/>
        <c:scaling>
          <c:orientation val="minMax"/>
          <c:max val="275000"/>
          <c:min val="1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7696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2016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〗_2016−∑24_(𝑞=2016−𝑄1)^(2016−𝑄4)▒〖"gvaConst2020InCont2016" 〗_𝑞 }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7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=2024−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24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−∑24_(𝑞=20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−𝑄1)^(20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−𝑄4)▒〖"gvaConst2020InCont20</a:t>
              </a:r>
              <a:r>
                <a:rPr lang="pl-PL" sz="1100" b="0" i="0">
                  <a:latin typeface="Cambria Math" panose="02040503050406030204" pitchFamily="18" charset="0"/>
                </a:rPr>
                <a:t>" 24</a:t>
              </a:r>
              <a:r>
                <a:rPr lang="en-GB" sz="1100" b="0" i="0">
                  <a:latin typeface="Cambria Math" panose="02040503050406030204" pitchFamily="18" charset="0"/>
                </a:rPr>
                <a:t>〗_</a:t>
              </a:r>
              <a:r>
                <a:rPr lang="en-GB" sz="1100" i="0">
                  <a:latin typeface="Cambria Math" panose="02040503050406030204" pitchFamily="18" charset="0"/>
                </a:rPr>
                <a:t>𝑞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</xdr:colOff>
      <xdr:row>29</xdr:row>
      <xdr:rowOff>19050</xdr:rowOff>
    </xdr:from>
    <xdr:to>
      <xdr:col>20</xdr:col>
      <xdr:colOff>1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006B3-4447-17D7-F401-367093B67E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869950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5A5B4C-AE45-7DA0-3021-C3CB1D98E09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11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09D56F3-983F-96CA-5679-09AFA5CBB5B9}"/>
            </a:ext>
          </a:extLst>
        </xdr:cNvPr>
        <xdr:cNvSpPr txBox="1"/>
      </xdr:nvSpPr>
      <xdr:spPr>
        <a:xfrm>
          <a:off x="9950450" y="33845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4</xdr:row>
      <xdr:rowOff>0</xdr:rowOff>
    </xdr:from>
    <xdr:ext cx="1041399" cy="2032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4558B8-06D7-794C-99CB-11B1FA92BE6F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17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31</xdr:row>
      <xdr:rowOff>0</xdr:rowOff>
    </xdr:from>
    <xdr:ext cx="1651000" cy="2199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̂=𝛽_0+𝛽_1 𝑡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1</xdr:colOff>
      <xdr:row>34</xdr:row>
      <xdr:rowOff>0</xdr:rowOff>
    </xdr:from>
    <xdr:ext cx="825499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pl-PL" sz="1100" b="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(∂𝑦 ̂)/∂𝑡=𝛽_1</a:t>
              </a:r>
              <a:endParaRPr lang="pl-PL" sz="1100" b="0"/>
            </a:p>
          </xdr:txBody>
        </xdr:sp>
      </mc:Fallback>
    </mc:AlternateContent>
    <xdr:clientData/>
  </xdr:oneCellAnchor>
  <xdr:oneCellAnchor>
    <xdr:from>
      <xdr:col>20</xdr:col>
      <xdr:colOff>12701</xdr:colOff>
      <xdr:row>38</xdr:row>
      <xdr:rowOff>0</xdr:rowOff>
    </xdr:from>
    <xdr:ext cx="16382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̂)/𝜕𝑡=𝛽_1/"mean" (𝑦 ̂ 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41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8986B-7D91-2642-9AF9-32043C241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64287D2-0265-8C4C-8DFB-A422BF951B4C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D401C9B-C57E-AF4B-88DE-2B80D8EC4392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3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47D5FE9-C72F-EB48-B728-FE94B6A51D79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31</xdr:row>
      <xdr:rowOff>0</xdr:rowOff>
    </xdr:from>
    <xdr:ext cx="16382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̂=𝑒^(𝛽_0 ) 𝑡^(𝛽_1 )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0</xdr:rowOff>
    </xdr:from>
    <xdr:ext cx="1651000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42</xdr:row>
      <xdr:rowOff>1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41409</xdr:rowOff>
    </xdr:from>
    <xdr:ext cx="2476500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01FE5C-E0FB-B948-ABB2-E5AAE430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1798F2-7EB3-894E-9551-D1F9736982EE}"/>
            </a:ext>
          </a:extLst>
        </xdr:cNvPr>
        <xdr:cNvSpPr txBox="1"/>
      </xdr:nvSpPr>
      <xdr:spPr>
        <a:xfrm>
          <a:off x="11601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F5FA32-F568-1443-B1F5-508C26A24D84}"/>
            </a:ext>
          </a:extLst>
        </xdr:cNvPr>
        <xdr:cNvSpPr txBox="1"/>
      </xdr:nvSpPr>
      <xdr:spPr>
        <a:xfrm>
          <a:off x="11601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8652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0EB6239-E037-2F4C-BDD7-9DD6EA807F29}"/>
            </a:ext>
          </a:extLst>
        </xdr:cNvPr>
        <xdr:cNvSpPr txBox="1"/>
      </xdr:nvSpPr>
      <xdr:spPr>
        <a:xfrm>
          <a:off x="15278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31</xdr:row>
      <xdr:rowOff>8786</xdr:rowOff>
    </xdr:from>
    <xdr:ext cx="1651000" cy="1856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̂=𝑒^(𝛽_0+𝛽_1 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42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42098</xdr:rowOff>
    </xdr:from>
    <xdr:ext cx="1651000" cy="36430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𝑒^(𝛽_0+𝛽_1 "mean" (𝑡)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27606</xdr:rowOff>
    </xdr:from>
    <xdr:ext cx="2476499" cy="378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𝑒^(𝛽_0+𝛽_1 "mean" (𝑡) 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</xdr:colOff>
      <xdr:row>35</xdr:row>
      <xdr:rowOff>19050</xdr:rowOff>
    </xdr:from>
    <xdr:to>
      <xdr:col>21</xdr:col>
      <xdr:colOff>1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69DD3-A1D9-D049-A5C4-39AF8F126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23BDEE-1D90-2444-8BF5-589405159DE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12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CB8F406-B9D7-4547-8D8A-A1ED204D55CF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12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5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C89193A-182C-3742-B6D8-2E811FB16F05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5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10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15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15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1/(𝑛−3)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20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</a:t>
              </a:r>
              <a:r>
                <a:rPr lang="en-GB" sz="1100" i="0">
                  <a:latin typeface="Cambria Math" panose="02040503050406030204" pitchFamily="18" charset="0"/>
                </a:rPr>
                <a:t>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27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−3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∑24_(</a:t>
              </a:r>
              <a:r>
                <a:rPr lang="en-GB" sz="1100" i="0">
                  <a:latin typeface="Cambria Math" panose="02040503050406030204" pitchFamily="18" charset="0"/>
                </a:rPr>
                <a:t>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30</xdr:row>
      <xdr:rowOff>12700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31</xdr:row>
      <xdr:rowOff>9817</xdr:rowOff>
    </xdr:from>
    <xdr:ext cx="825501" cy="2257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29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29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29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29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32</xdr:row>
      <xdr:rowOff>32332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〗_(𝛽_2 )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31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32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37</xdr:row>
      <xdr:rowOff>26544</xdr:rowOff>
    </xdr:from>
    <xdr:ext cx="1238288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𝑦 ̂=𝛽_0+𝛽_1 𝑡+𝛽_2 𝑡^2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37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37</xdr:row>
      <xdr:rowOff>0</xdr:rowOff>
    </xdr:from>
    <xdr:ext cx="9271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40</xdr:row>
      <xdr:rowOff>0</xdr:rowOff>
    </xdr:from>
    <xdr:ext cx="1651000" cy="4309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+2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</m:sub>
                    </m:sSub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̂)/𝜕𝑡=𝛽_1+2𝛽_2"mean"  (𝑡)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44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</m:sub>
                        </m:sSub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̂)/𝜕𝑡=(𝛽_1+2𝛽_2"mean"  (𝑡))/"mean" (𝑦 ̂ )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FF1181-D4D8-CD7B-6710-DEA04787E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,1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,3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(𝑡,3)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5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1</xdr:colOff>
      <xdr:row>2</xdr:row>
      <xdr:rowOff>0</xdr:rowOff>
    </xdr:from>
    <xdr:ext cx="8254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max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𝛽_0="max" (𝑌)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𝛽_1=(𝛽_0−"quartile" (Y,1))/"quartile" (Y,1)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activeCell="L23" sqref="L23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48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G1" sqref="G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49</v>
      </c>
      <c r="B1" s="3" t="s">
        <v>43</v>
      </c>
      <c r="C1" s="3" t="s">
        <v>44</v>
      </c>
      <c r="D1" s="3" t="s">
        <v>51</v>
      </c>
      <c r="E1" s="3" t="s">
        <v>50</v>
      </c>
      <c r="F1" s="3" t="s">
        <v>54</v>
      </c>
      <c r="G1" s="3" t="s">
        <v>55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53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  <c r="J7" s="3" t="s">
        <v>52</v>
      </c>
      <c r="K7" s="2">
        <f>SUM('01 Removing Trend and Season'!D38:D41)</f>
        <v>1007338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  <c r="J8" s="3"/>
      <c r="K8" s="2">
        <f>SUM(G38:G41)-K7</f>
        <v>0.38126828405074775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2D8A-57B6-5D4E-874E-1377484B96AF}">
  <dimension ref="A1:J43"/>
  <sheetViews>
    <sheetView workbookViewId="0">
      <selection activeCell="K11" sqref="K1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152367.13305746697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0" x14ac:dyDescent="0.2">
      <c r="A4" t="s">
        <v>2</v>
      </c>
      <c r="B4" s="2">
        <v>2015</v>
      </c>
      <c r="C4" s="2">
        <v>3</v>
      </c>
      <c r="D4" s="1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0" x14ac:dyDescent="0.2">
      <c r="A5" t="s">
        <v>3</v>
      </c>
      <c r="B5" s="2">
        <v>2015</v>
      </c>
      <c r="C5" s="2">
        <v>4</v>
      </c>
      <c r="D5" s="1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0" x14ac:dyDescent="0.2">
      <c r="A6" t="s">
        <v>4</v>
      </c>
      <c r="B6" s="2">
        <v>2016</v>
      </c>
      <c r="C6" s="2">
        <v>1</v>
      </c>
      <c r="D6" s="1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0" x14ac:dyDescent="0.2">
      <c r="A7" t="s">
        <v>5</v>
      </c>
      <c r="B7" s="2">
        <v>2016</v>
      </c>
      <c r="C7" s="2">
        <v>2</v>
      </c>
      <c r="D7" s="1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0" x14ac:dyDescent="0.2">
      <c r="A8" t="s">
        <v>6</v>
      </c>
      <c r="B8" s="2">
        <v>2016</v>
      </c>
      <c r="C8" s="2">
        <v>3</v>
      </c>
      <c r="D8" s="1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48</v>
      </c>
      <c r="I8" s="1">
        <f>AVERAGE(I3:I6)</f>
        <v>871.71851644223852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0" x14ac:dyDescent="0.2">
      <c r="A10" t="s">
        <v>8</v>
      </c>
      <c r="B10" s="2">
        <v>2017</v>
      </c>
      <c r="C10" s="2">
        <v>1</v>
      </c>
      <c r="D10" s="1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0" x14ac:dyDescent="0.2">
      <c r="A11" t="s">
        <v>9</v>
      </c>
      <c r="B11" s="2">
        <v>2017</v>
      </c>
      <c r="C11" s="2">
        <v>2</v>
      </c>
      <c r="D11" s="1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0" x14ac:dyDescent="0.2">
      <c r="A12" t="s">
        <v>10</v>
      </c>
      <c r="B12" s="2">
        <v>2017</v>
      </c>
      <c r="C12" s="2">
        <v>3</v>
      </c>
      <c r="D12" s="1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0" x14ac:dyDescent="0.2">
      <c r="A13" t="s">
        <v>11</v>
      </c>
      <c r="B13" s="2">
        <v>2017</v>
      </c>
      <c r="C13" s="2">
        <v>4</v>
      </c>
      <c r="D13" s="1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0" x14ac:dyDescent="0.2">
      <c r="A14" t="s">
        <v>12</v>
      </c>
      <c r="B14" s="2">
        <v>2018</v>
      </c>
      <c r="C14" s="2">
        <v>1</v>
      </c>
      <c r="D14" s="1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0" x14ac:dyDescent="0.2">
      <c r="A15" t="s">
        <v>13</v>
      </c>
      <c r="B15" s="2">
        <v>2018</v>
      </c>
      <c r="C15" s="2">
        <v>2</v>
      </c>
      <c r="D15" s="1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0" x14ac:dyDescent="0.2">
      <c r="A16" t="s">
        <v>14</v>
      </c>
      <c r="B16" s="2">
        <v>2018</v>
      </c>
      <c r="C16" s="2">
        <v>3</v>
      </c>
      <c r="D16" s="1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1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1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1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1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1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1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1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1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1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1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1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1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1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1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1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1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1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1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1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1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1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1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1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1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1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1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1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69C6-B362-0A4D-BB42-FED12E010EE4}">
  <dimension ref="A1:J43"/>
  <sheetViews>
    <sheetView workbookViewId="0">
      <selection activeCell="L5" sqref="L5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203587.31108216554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0" x14ac:dyDescent="0.2">
      <c r="A4" t="s">
        <v>2</v>
      </c>
      <c r="B4" s="2">
        <v>2015</v>
      </c>
      <c r="C4" s="2">
        <v>3</v>
      </c>
      <c r="D4" s="1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0" x14ac:dyDescent="0.2">
      <c r="A5" t="s">
        <v>3</v>
      </c>
      <c r="B5" s="2">
        <v>2015</v>
      </c>
      <c r="C5" s="2">
        <v>4</v>
      </c>
      <c r="D5" s="1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0" x14ac:dyDescent="0.2">
      <c r="A6" t="s">
        <v>4</v>
      </c>
      <c r="B6" s="2">
        <v>2016</v>
      </c>
      <c r="C6" s="2">
        <v>1</v>
      </c>
      <c r="D6" s="1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0" x14ac:dyDescent="0.2">
      <c r="A7" t="s">
        <v>5</v>
      </c>
      <c r="B7" s="2">
        <v>2016</v>
      </c>
      <c r="C7" s="2">
        <v>2</v>
      </c>
      <c r="D7" s="1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0" x14ac:dyDescent="0.2">
      <c r="A8" t="s">
        <v>6</v>
      </c>
      <c r="B8" s="2">
        <v>2016</v>
      </c>
      <c r="C8" s="2">
        <v>3</v>
      </c>
      <c r="D8" s="1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48</v>
      </c>
      <c r="I8" s="1">
        <f>AVERAGE(I3:I6)</f>
        <v>1164.7579449832842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0" x14ac:dyDescent="0.2">
      <c r="A10" t="s">
        <v>8</v>
      </c>
      <c r="B10" s="2">
        <v>2017</v>
      </c>
      <c r="C10" s="2">
        <v>1</v>
      </c>
      <c r="D10" s="1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0" x14ac:dyDescent="0.2">
      <c r="A11" t="s">
        <v>9</v>
      </c>
      <c r="B11" s="2">
        <v>2017</v>
      </c>
      <c r="C11" s="2">
        <v>2</v>
      </c>
      <c r="D11" s="1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0" x14ac:dyDescent="0.2">
      <c r="A12" t="s">
        <v>10</v>
      </c>
      <c r="B12" s="2">
        <v>2017</v>
      </c>
      <c r="C12" s="2">
        <v>3</v>
      </c>
      <c r="D12" s="1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0" x14ac:dyDescent="0.2">
      <c r="A13" t="s">
        <v>11</v>
      </c>
      <c r="B13" s="2">
        <v>2017</v>
      </c>
      <c r="C13" s="2">
        <v>4</v>
      </c>
      <c r="D13" s="1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0" x14ac:dyDescent="0.2">
      <c r="A14" t="s">
        <v>12</v>
      </c>
      <c r="B14" s="2">
        <v>2018</v>
      </c>
      <c r="C14" s="2">
        <v>1</v>
      </c>
      <c r="D14" s="1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0" x14ac:dyDescent="0.2">
      <c r="A15" t="s">
        <v>13</v>
      </c>
      <c r="B15" s="2">
        <v>2018</v>
      </c>
      <c r="C15" s="2">
        <v>2</v>
      </c>
      <c r="D15" s="1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0" x14ac:dyDescent="0.2">
      <c r="A16" t="s">
        <v>14</v>
      </c>
      <c r="B16" s="2">
        <v>2018</v>
      </c>
      <c r="C16" s="2">
        <v>3</v>
      </c>
      <c r="D16" s="1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1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1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1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1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1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1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1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1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1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1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1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1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1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1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1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1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1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1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1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1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1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1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1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1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1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1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1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2212-6F14-F741-A779-47529EAC8A0A}">
  <dimension ref="A1:BD43"/>
  <sheetViews>
    <sheetView tabSelected="1" zoomScaleNormal="100" workbookViewId="0">
      <selection activeCell="D10" sqref="D10"/>
    </sheetView>
  </sheetViews>
  <sheetFormatPr baseColWidth="10" defaultRowHeight="16" x14ac:dyDescent="0.2"/>
  <cols>
    <col min="12" max="12" width="13.5" customWidth="1"/>
    <col min="15" max="15" width="13.6640625" bestFit="1" customWidth="1"/>
    <col min="17" max="17" width="12.1640625" bestFit="1" customWidth="1"/>
    <col min="19" max="19" width="12.1640625" bestFit="1" customWidth="1"/>
    <col min="20" max="20" width="11.1640625" bestFit="1" customWidth="1"/>
    <col min="23" max="23" width="11.1640625" bestFit="1" customWidth="1"/>
  </cols>
  <sheetData>
    <row r="1" spans="1:56" x14ac:dyDescent="0.2">
      <c r="A1" s="3" t="s">
        <v>81</v>
      </c>
      <c r="B1" s="3"/>
      <c r="C1" s="3" t="s">
        <v>82</v>
      </c>
      <c r="E1" s="3"/>
      <c r="G1" s="3"/>
      <c r="J1" s="3"/>
      <c r="L1" s="3"/>
      <c r="O1" s="3"/>
    </row>
    <row r="2" spans="1:56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J2" s="1">
        <f>$Q$10+$Q$11*H2</f>
        <v>141613.78405315607</v>
      </c>
      <c r="K2" s="1"/>
      <c r="L2" s="1">
        <f>(J2-A2)^2</f>
        <v>84680778.332348824</v>
      </c>
      <c r="M2" s="1"/>
      <c r="O2" cm="1">
        <f t="array" ref="O2:BD3">TRANSPOSE(G2:H43)</f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J3" s="1">
        <f t="shared" ref="J3:J42" si="2">$Q$10+$Q$11*H3</f>
        <v>144309.37646868156</v>
      </c>
      <c r="K3" s="1"/>
      <c r="L3" s="1">
        <f t="shared" ref="L3:L43" si="3">(J3-A3)^2</f>
        <v>235733755.54145545</v>
      </c>
      <c r="M3" s="1"/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21</v>
      </c>
      <c r="AJ3">
        <v>22</v>
      </c>
      <c r="AK3">
        <v>23</v>
      </c>
      <c r="AL3">
        <v>24</v>
      </c>
      <c r="AM3">
        <v>25</v>
      </c>
      <c r="AN3">
        <v>26</v>
      </c>
      <c r="AO3">
        <v>27</v>
      </c>
      <c r="AP3">
        <v>28</v>
      </c>
      <c r="AQ3">
        <v>29</v>
      </c>
      <c r="AR3">
        <v>30</v>
      </c>
      <c r="AS3">
        <v>31</v>
      </c>
      <c r="AT3">
        <v>32</v>
      </c>
      <c r="AU3">
        <v>33</v>
      </c>
      <c r="AV3">
        <v>34</v>
      </c>
      <c r="AW3">
        <v>35</v>
      </c>
      <c r="AX3">
        <v>36</v>
      </c>
      <c r="AY3">
        <v>37</v>
      </c>
      <c r="AZ3">
        <v>38</v>
      </c>
      <c r="BA3">
        <v>39</v>
      </c>
      <c r="BB3">
        <v>40</v>
      </c>
      <c r="BC3">
        <v>41</v>
      </c>
      <c r="BD3">
        <v>42</v>
      </c>
    </row>
    <row r="4" spans="1:56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J4" s="1">
        <f t="shared" si="2"/>
        <v>147004.96888420702</v>
      </c>
      <c r="K4" s="1"/>
      <c r="L4" s="1">
        <f t="shared" si="3"/>
        <v>73411157.201196745</v>
      </c>
      <c r="M4" s="1"/>
    </row>
    <row r="5" spans="1:56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J5" s="1">
        <f t="shared" si="2"/>
        <v>149700.56129973251</v>
      </c>
      <c r="K5" s="1"/>
      <c r="L5" s="1">
        <f t="shared" si="3"/>
        <v>140978546.56900978</v>
      </c>
      <c r="M5" s="1"/>
      <c r="O5" s="3"/>
      <c r="R5" s="3"/>
    </row>
    <row r="6" spans="1:56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J6" s="1">
        <f t="shared" si="2"/>
        <v>152396.153715258</v>
      </c>
      <c r="K6" s="1"/>
      <c r="L6" s="1">
        <f t="shared" si="3"/>
        <v>6379899.4541449714</v>
      </c>
      <c r="M6" s="1"/>
      <c r="O6" cm="1">
        <f t="array" ref="O6:P7">MMULT(_xlfn.ANCHORARRAY(O2),G2:H43)</f>
        <v>42</v>
      </c>
      <c r="P6">
        <v>903</v>
      </c>
      <c r="R6" cm="1">
        <f t="array" ref="R6:S7">MINVERSE(_xlfn.ANCHORARRAY(O6))</f>
        <v>9.8722415795586521E-2</v>
      </c>
      <c r="S6">
        <v>-3.4843205574912892E-3</v>
      </c>
    </row>
    <row r="7" spans="1:56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J7" s="1">
        <f t="shared" si="2"/>
        <v>155091.74613078346</v>
      </c>
      <c r="K7" s="1"/>
      <c r="L7" s="1">
        <f t="shared" si="3"/>
        <v>80232396.87759468</v>
      </c>
      <c r="M7" s="1"/>
      <c r="O7">
        <v>903</v>
      </c>
      <c r="P7">
        <v>25585</v>
      </c>
      <c r="R7">
        <v>-3.4843205574912892E-3</v>
      </c>
      <c r="S7">
        <v>1.6206142127866461E-4</v>
      </c>
    </row>
    <row r="8" spans="1:56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J8" s="1">
        <f t="shared" si="2"/>
        <v>157787.33854630895</v>
      </c>
      <c r="K8" s="1"/>
      <c r="L8" s="1">
        <f t="shared" si="3"/>
        <v>1792014.4875982332</v>
      </c>
      <c r="M8" s="1"/>
    </row>
    <row r="9" spans="1:56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J9" s="1">
        <f t="shared" si="2"/>
        <v>160482.93096183444</v>
      </c>
      <c r="K9" s="1"/>
      <c r="L9" s="1">
        <f t="shared" si="3"/>
        <v>32856615.458296232</v>
      </c>
      <c r="M9" s="1"/>
      <c r="O9" s="3"/>
      <c r="Q9" s="3"/>
    </row>
    <row r="10" spans="1:56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J10" s="1">
        <f t="shared" si="2"/>
        <v>163178.52337735993</v>
      </c>
      <c r="K10" s="1"/>
      <c r="L10" s="1">
        <f t="shared" si="3"/>
        <v>3095922.515476102</v>
      </c>
      <c r="M10" s="1"/>
      <c r="O10" cm="1">
        <f t="array" ref="O10:O11">MMULT(_xlfn.ANCHORARRAY(O2),E2:E43)</f>
        <v>8268684</v>
      </c>
      <c r="Q10" cm="1">
        <f t="array" ref="Q10:Q11">MMULT(_xlfn.ANCHORARRAY(R6),_xlfn.ANCHORARRAY(O10))</f>
        <v>138918.19163763057</v>
      </c>
      <c r="R10" s="14"/>
    </row>
    <row r="11" spans="1:56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J11" s="1">
        <f t="shared" si="2"/>
        <v>165874.11579288542</v>
      </c>
      <c r="K11" s="1"/>
      <c r="L11" s="1">
        <f t="shared" si="3"/>
        <v>27982874.924680222</v>
      </c>
      <c r="M11" s="1"/>
      <c r="O11">
        <v>194409859</v>
      </c>
      <c r="Q11">
        <v>2695.5924155254834</v>
      </c>
    </row>
    <row r="12" spans="1:56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J12" s="1">
        <f t="shared" si="2"/>
        <v>168569.70820841088</v>
      </c>
      <c r="K12" s="1"/>
      <c r="L12" s="1">
        <f t="shared" si="3"/>
        <v>6084649.3854416348</v>
      </c>
      <c r="M12" s="1"/>
    </row>
    <row r="13" spans="1:56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J13" s="1">
        <f t="shared" si="2"/>
        <v>171265.30062393637</v>
      </c>
      <c r="K13" s="1"/>
      <c r="L13" s="1">
        <f t="shared" si="3"/>
        <v>3931096.8158430881</v>
      </c>
      <c r="M13" s="1"/>
    </row>
    <row r="14" spans="1:56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J14" s="1">
        <f t="shared" si="2"/>
        <v>173960.89303946187</v>
      </c>
      <c r="K14" s="1"/>
      <c r="L14" s="1">
        <f t="shared" si="3"/>
        <v>15248189.649637727</v>
      </c>
      <c r="M14" s="1"/>
    </row>
    <row r="15" spans="1:56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J15" s="1">
        <f t="shared" si="2"/>
        <v>176656.48545498733</v>
      </c>
      <c r="K15" s="1"/>
      <c r="L15" s="1">
        <f t="shared" si="3"/>
        <v>5529620.6554061584</v>
      </c>
      <c r="M15" s="1"/>
      <c r="O15" s="3"/>
      <c r="Q15" s="3"/>
      <c r="T15" s="3"/>
    </row>
    <row r="16" spans="1:56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J16" s="1">
        <f t="shared" si="2"/>
        <v>179352.07787051282</v>
      </c>
      <c r="K16" s="1"/>
      <c r="L16" s="1">
        <f t="shared" si="3"/>
        <v>32490887.729909938</v>
      </c>
      <c r="M16" s="1"/>
      <c r="O16" s="1">
        <f>SUM(L2:L43)</f>
        <v>4036435421.2107601</v>
      </c>
      <c r="Q16">
        <f>O16/(COUNT(J2:J43)-2)</f>
        <v>100910885.530269</v>
      </c>
    </row>
    <row r="17" spans="1:25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J17" s="1">
        <f t="shared" si="2"/>
        <v>182047.67028603831</v>
      </c>
      <c r="K17" s="1"/>
      <c r="L17" s="1">
        <f t="shared" si="3"/>
        <v>1456053.1792077729</v>
      </c>
      <c r="M17" s="1"/>
    </row>
    <row r="18" spans="1:25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J18" s="1">
        <f t="shared" si="2"/>
        <v>184743.2627015638</v>
      </c>
      <c r="K18" s="1"/>
      <c r="L18" s="1">
        <f t="shared" si="3"/>
        <v>35560502.047861978</v>
      </c>
      <c r="M18" s="1"/>
      <c r="O18" s="3"/>
    </row>
    <row r="19" spans="1:25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J19" s="1">
        <f t="shared" si="2"/>
        <v>187438.85511708929</v>
      </c>
      <c r="K19" s="1"/>
      <c r="L19" s="1">
        <f t="shared" si="3"/>
        <v>1679991.5574956189</v>
      </c>
      <c r="M19" s="1"/>
    </row>
    <row r="20" spans="1:25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J20" s="1">
        <f t="shared" si="2"/>
        <v>190134.44753261475</v>
      </c>
      <c r="K20" s="1"/>
      <c r="L20" s="1">
        <f t="shared" si="3"/>
        <v>58330604.813443154</v>
      </c>
      <c r="M20" s="1"/>
    </row>
    <row r="21" spans="1:25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J21" s="1">
        <f t="shared" si="2"/>
        <v>192830.03994814024</v>
      </c>
      <c r="K21" s="1"/>
      <c r="L21" s="1">
        <f t="shared" si="3"/>
        <v>11115822.375794986</v>
      </c>
      <c r="M21" s="1"/>
      <c r="O21" s="13">
        <f>$Q$16*R6</f>
        <v>9962166.3996200506</v>
      </c>
      <c r="P21" s="13">
        <f>$Q$16*S6</f>
        <v>-351605.87292776653</v>
      </c>
      <c r="Q21" s="3"/>
      <c r="R21" s="3"/>
      <c r="S21" s="3"/>
    </row>
    <row r="22" spans="1:25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J22" s="1">
        <f t="shared" si="2"/>
        <v>195525.63236366573</v>
      </c>
      <c r="K22" s="1"/>
      <c r="L22" s="1">
        <f t="shared" si="3"/>
        <v>168704570.67846486</v>
      </c>
      <c r="M22" s="1"/>
      <c r="O22" s="13">
        <f>$Q$16*R7</f>
        <v>-351605.87292776653</v>
      </c>
      <c r="P22" s="13">
        <f>$Q$16*S7</f>
        <v>16353.761531524025</v>
      </c>
    </row>
    <row r="23" spans="1:25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J23" s="1">
        <f t="shared" si="2"/>
        <v>198221.22477919119</v>
      </c>
      <c r="K23" s="1"/>
      <c r="L23" s="1">
        <f t="shared" si="3"/>
        <v>520990886.2206037</v>
      </c>
      <c r="M23" s="1"/>
    </row>
    <row r="24" spans="1:25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J24" s="1">
        <f t="shared" si="2"/>
        <v>200916.81719471668</v>
      </c>
      <c r="K24" s="1"/>
      <c r="L24" s="1">
        <f t="shared" si="3"/>
        <v>445286688.91924071</v>
      </c>
      <c r="M24" s="1"/>
      <c r="O24" s="3"/>
    </row>
    <row r="25" spans="1:25" ht="17" thickBot="1" x14ac:dyDescent="0.25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J25" s="1">
        <f t="shared" si="2"/>
        <v>203612.40961024218</v>
      </c>
      <c r="K25" s="1"/>
      <c r="L25" s="1">
        <f t="shared" si="3"/>
        <v>231386982.33056802</v>
      </c>
      <c r="M25" s="1"/>
    </row>
    <row r="26" spans="1:25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J26" s="1">
        <f t="shared" si="2"/>
        <v>206308.00202576767</v>
      </c>
      <c r="K26" s="1"/>
      <c r="L26" s="1">
        <f t="shared" si="3"/>
        <v>500327514.62474644</v>
      </c>
      <c r="M26" s="1"/>
      <c r="S26" s="8"/>
      <c r="T26" s="9"/>
      <c r="U26" s="9"/>
      <c r="V26" s="9"/>
      <c r="W26" s="10"/>
      <c r="Y26" s="13" t="s">
        <v>85</v>
      </c>
    </row>
    <row r="27" spans="1:25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J27" s="1">
        <f t="shared" si="2"/>
        <v>209003.59444129316</v>
      </c>
      <c r="K27" s="1"/>
      <c r="L27" s="1">
        <f t="shared" si="3"/>
        <v>57313900.194538847</v>
      </c>
      <c r="M27" s="1"/>
      <c r="O27">
        <f>SQRT(O21)</f>
        <v>3156.2899739441004</v>
      </c>
      <c r="P27" t="e">
        <f>SQRT(P21)</f>
        <v>#NUM!</v>
      </c>
      <c r="S27" s="6">
        <v>0</v>
      </c>
      <c r="T27">
        <f>Q10</f>
        <v>138918.19163763057</v>
      </c>
      <c r="U27">
        <f>O27</f>
        <v>3156.2899739441004</v>
      </c>
      <c r="V27">
        <f>T27/U27</f>
        <v>44.013127052467354</v>
      </c>
      <c r="W27" s="11">
        <f>_xlfn.T.DIST.2T(V27,40)</f>
        <v>1.6703398407714443E-35</v>
      </c>
      <c r="Y27" s="16" t="s">
        <v>84</v>
      </c>
    </row>
    <row r="28" spans="1:25" ht="17" thickBot="1" x14ac:dyDescent="0.25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J28" s="1">
        <f t="shared" si="2"/>
        <v>211699.18685681862</v>
      </c>
      <c r="K28" s="1"/>
      <c r="L28" s="1">
        <f t="shared" si="3"/>
        <v>162745816.49978569</v>
      </c>
      <c r="M28" s="1"/>
      <c r="O28" t="e">
        <f>SQRT(O22)</f>
        <v>#NUM!</v>
      </c>
      <c r="P28">
        <f>SQRT(P22)</f>
        <v>127.88182643176482</v>
      </c>
      <c r="S28" s="7">
        <v>1</v>
      </c>
      <c r="T28" s="5">
        <f>Q11</f>
        <v>2695.5924155254834</v>
      </c>
      <c r="U28" s="5">
        <f>P28</f>
        <v>127.88182643176482</v>
      </c>
      <c r="V28" s="5">
        <f>T28/U28</f>
        <v>21.078776326077868</v>
      </c>
      <c r="W28" s="12">
        <f>_xlfn.T.DIST.2T(V28,40)</f>
        <v>2.8486104637818865E-23</v>
      </c>
      <c r="Y28" s="16" t="s">
        <v>84</v>
      </c>
    </row>
    <row r="29" spans="1:25" x14ac:dyDescent="0.2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J29" s="1">
        <f t="shared" si="2"/>
        <v>214394.77927234411</v>
      </c>
      <c r="K29" s="1"/>
      <c r="L29" s="1">
        <f t="shared" si="3"/>
        <v>48717318.690644458</v>
      </c>
      <c r="M29" s="1"/>
    </row>
    <row r="30" spans="1:25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J30" s="1">
        <f t="shared" si="2"/>
        <v>217090.3716878696</v>
      </c>
      <c r="K30" s="1"/>
      <c r="L30" s="1">
        <f t="shared" si="3"/>
        <v>62037230.965473801</v>
      </c>
      <c r="M30" s="1"/>
    </row>
    <row r="31" spans="1:25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J31" s="1">
        <f t="shared" si="2"/>
        <v>219785.96410339506</v>
      </c>
      <c r="K31" s="1"/>
      <c r="L31" s="1">
        <f t="shared" si="3"/>
        <v>19519041.183689807</v>
      </c>
      <c r="M31" s="1"/>
      <c r="U31" t="s">
        <v>83</v>
      </c>
    </row>
    <row r="32" spans="1:25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J32" s="1">
        <f t="shared" si="2"/>
        <v>222481.55651892055</v>
      </c>
      <c r="K32" s="1"/>
      <c r="L32" s="1">
        <f t="shared" si="3"/>
        <v>279371.99369341158</v>
      </c>
      <c r="M32" s="1"/>
    </row>
    <row r="33" spans="1:23" x14ac:dyDescent="0.2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J33" s="1">
        <f t="shared" si="2"/>
        <v>225177.14893444604</v>
      </c>
      <c r="K33" s="1"/>
      <c r="L33" s="1">
        <f t="shared" si="3"/>
        <v>58153604.47401043</v>
      </c>
      <c r="M33" s="1"/>
    </row>
    <row r="34" spans="1:23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J34" s="1">
        <f t="shared" si="2"/>
        <v>227872.74134997153</v>
      </c>
      <c r="K34" s="1"/>
      <c r="L34" s="1">
        <f t="shared" si="3"/>
        <v>619776.18204464414</v>
      </c>
      <c r="M34" s="1"/>
      <c r="U34" t="s">
        <v>99</v>
      </c>
    </row>
    <row r="35" spans="1:23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J35" s="1">
        <f t="shared" si="2"/>
        <v>230568.33376549702</v>
      </c>
      <c r="K35" s="1"/>
      <c r="L35" s="1">
        <f t="shared" si="3"/>
        <v>85519330.784766451</v>
      </c>
      <c r="M35" s="1"/>
      <c r="W35" s="1">
        <f>T28</f>
        <v>2695.5924155254834</v>
      </c>
    </row>
    <row r="36" spans="1:23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J36" s="1">
        <f t="shared" si="2"/>
        <v>233263.92618102249</v>
      </c>
      <c r="K36" s="1"/>
      <c r="L36" s="1">
        <f t="shared" si="3"/>
        <v>33097.135341426074</v>
      </c>
      <c r="M36" s="1"/>
      <c r="W36" t="s">
        <v>87</v>
      </c>
    </row>
    <row r="37" spans="1:23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J37" s="1">
        <f t="shared" si="2"/>
        <v>235959.51859654798</v>
      </c>
      <c r="K37" s="1"/>
      <c r="L37" s="1">
        <f t="shared" si="3"/>
        <v>53049101.354431465</v>
      </c>
      <c r="M37" s="1"/>
    </row>
    <row r="38" spans="1:23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J38" s="1">
        <f t="shared" si="2"/>
        <v>238655.11101207347</v>
      </c>
      <c r="K38" s="1"/>
      <c r="L38" s="1">
        <f t="shared" si="3"/>
        <v>10284136.980884466</v>
      </c>
      <c r="M38" s="1"/>
      <c r="U38" t="s">
        <v>86</v>
      </c>
    </row>
    <row r="39" spans="1:23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J39" s="1">
        <f t="shared" si="2"/>
        <v>241350.70342759893</v>
      </c>
      <c r="K39" s="1"/>
      <c r="L39" s="1">
        <f t="shared" si="3"/>
        <v>207541380.93197486</v>
      </c>
      <c r="M39" s="1"/>
      <c r="W39" s="15">
        <f>T28/AVERAGE(J2:J43)</f>
        <v>1.3692007271298599E-2</v>
      </c>
    </row>
    <row r="40" spans="1:23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J40" s="1">
        <f t="shared" si="2"/>
        <v>244046.29584312442</v>
      </c>
      <c r="K40" s="1"/>
      <c r="L40" s="1">
        <f t="shared" si="3"/>
        <v>20964531.756189726</v>
      </c>
      <c r="M40" s="1"/>
      <c r="W40" t="s">
        <v>88</v>
      </c>
    </row>
    <row r="41" spans="1:23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J41" s="1">
        <f t="shared" si="2"/>
        <v>246741.88825864991</v>
      </c>
      <c r="K41" s="1"/>
      <c r="L41" s="1">
        <f t="shared" si="3"/>
        <v>205983111.43619913</v>
      </c>
      <c r="M41" s="1"/>
    </row>
    <row r="42" spans="1:23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J42" s="1">
        <f t="shared" si="2"/>
        <v>249437.4806741754</v>
      </c>
      <c r="K42" s="1"/>
      <c r="L42" s="1">
        <f t="shared" si="3"/>
        <v>23016191.681660526</v>
      </c>
      <c r="M42" s="1"/>
      <c r="U42" t="s">
        <v>91</v>
      </c>
    </row>
    <row r="43" spans="1:23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J43" s="1">
        <f>$Q$10+$Q$11*H43</f>
        <v>252133.07308970089</v>
      </c>
      <c r="K43" s="1"/>
      <c r="L43" s="1">
        <f t="shared" si="3"/>
        <v>295390456.61996371</v>
      </c>
      <c r="W43">
        <f>_xlfn.VAR.S(J2:J43)</f>
        <v>1093565879.8311083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C1BB-3443-D34C-9F6B-701CA4201613}">
  <dimension ref="A1:I18"/>
  <sheetViews>
    <sheetView workbookViewId="0">
      <selection activeCell="N35" sqref="N35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0.95781474830240731</v>
      </c>
    </row>
    <row r="5" spans="1:9" x14ac:dyDescent="0.2">
      <c r="A5" t="s">
        <v>59</v>
      </c>
      <c r="B5">
        <v>0.91740909206560395</v>
      </c>
    </row>
    <row r="6" spans="1:9" x14ac:dyDescent="0.2">
      <c r="A6" t="s">
        <v>60</v>
      </c>
      <c r="B6">
        <v>0.91534431936724414</v>
      </c>
    </row>
    <row r="7" spans="1:9" x14ac:dyDescent="0.2">
      <c r="A7" t="s">
        <v>61</v>
      </c>
      <c r="B7">
        <v>10045.441032143333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44836201073.074959</v>
      </c>
      <c r="D12">
        <v>44836201073.074959</v>
      </c>
      <c r="E12">
        <v>444.31481140482146</v>
      </c>
      <c r="F12">
        <v>2.8486104637817849E-23</v>
      </c>
    </row>
    <row r="13" spans="1:9" x14ac:dyDescent="0.2">
      <c r="A13" t="s">
        <v>65</v>
      </c>
      <c r="B13">
        <v>40</v>
      </c>
      <c r="C13">
        <v>4036435421.2107563</v>
      </c>
      <c r="D13">
        <v>100910885.53026891</v>
      </c>
    </row>
    <row r="14" spans="1:9" ht="17" thickBot="1" x14ac:dyDescent="0.25">
      <c r="A14" s="5" t="s">
        <v>66</v>
      </c>
      <c r="B14" s="5">
        <v>41</v>
      </c>
      <c r="C14" s="5">
        <v>48872636494.285713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138918.19163763063</v>
      </c>
      <c r="C17">
        <v>3156.2899739440991</v>
      </c>
      <c r="D17">
        <v>44.013127052467397</v>
      </c>
      <c r="E17">
        <v>1.6703398407713732E-35</v>
      </c>
      <c r="F17">
        <v>132539.09164662179</v>
      </c>
      <c r="G17">
        <v>145297.29162863948</v>
      </c>
      <c r="H17">
        <v>132539.09164662179</v>
      </c>
      <c r="I17">
        <v>145297.29162863948</v>
      </c>
    </row>
    <row r="18" spans="1:9" ht="17" thickBot="1" x14ac:dyDescent="0.25">
      <c r="A18" s="5" t="s">
        <v>80</v>
      </c>
      <c r="B18" s="5">
        <v>2695.5924155254852</v>
      </c>
      <c r="C18" s="5">
        <v>127.88182643176475</v>
      </c>
      <c r="D18" s="5">
        <v>21.078776326077893</v>
      </c>
      <c r="E18" s="5">
        <v>2.8486104637817649E-23</v>
      </c>
      <c r="F18" s="5">
        <v>2437.133603256827</v>
      </c>
      <c r="G18" s="5">
        <v>2954.0512277941434</v>
      </c>
      <c r="H18" s="5">
        <v>2437.133603256827</v>
      </c>
      <c r="I18" s="5">
        <v>2954.0512277941434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BD39A-7002-734E-B056-C362DE98DFD3}">
  <dimension ref="A1:BF43"/>
  <sheetViews>
    <sheetView zoomScaleNormal="100" workbookViewId="0">
      <selection activeCell="U13" sqref="U1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LN(C2)</f>
        <v>0</v>
      </c>
      <c r="J2" s="1">
        <f>EXP($V$27)*C2^$V$28</f>
        <v>123283.41958627796</v>
      </c>
      <c r="K2" s="1"/>
      <c r="L2" s="1">
        <f>LN(J2)</f>
        <v>11.722241207979494</v>
      </c>
      <c r="M2" s="1"/>
      <c r="N2" s="1">
        <f>(L2-E2)^2</f>
        <v>4.0632328131222077E-2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LN(C3)</f>
        <v>0.69314718055994529</v>
      </c>
      <c r="J3" s="1">
        <f t="shared" ref="J3:J43" si="2">EXP($V$27)*C3^$V$28</f>
        <v>137914.27241632305</v>
      </c>
      <c r="K3" s="1"/>
      <c r="L3" s="1">
        <f t="shared" ref="L3:L42" si="3">LN(J3)</f>
        <v>11.834387556731274</v>
      </c>
      <c r="M3" s="1"/>
      <c r="N3" s="1">
        <f t="shared" ref="N3:N43" si="4">(L3-E3)^2</f>
        <v>2.1442642882762635E-2</v>
      </c>
      <c r="O3" s="1"/>
      <c r="Q3">
        <v>0</v>
      </c>
      <c r="R3">
        <v>0.69314718055994529</v>
      </c>
      <c r="S3">
        <v>1.0986122886681098</v>
      </c>
      <c r="T3">
        <v>1.3862943611198906</v>
      </c>
      <c r="U3">
        <v>1.6094379124341003</v>
      </c>
      <c r="V3">
        <v>1.791759469228055</v>
      </c>
      <c r="W3">
        <v>1.9459101490553132</v>
      </c>
      <c r="X3">
        <v>2.0794415416798357</v>
      </c>
      <c r="Y3">
        <v>2.1972245773362196</v>
      </c>
      <c r="Z3">
        <v>2.3025850929940459</v>
      </c>
      <c r="AA3">
        <v>2.3978952727983707</v>
      </c>
      <c r="AB3">
        <v>2.4849066497880004</v>
      </c>
      <c r="AC3">
        <v>2.5649493574615367</v>
      </c>
      <c r="AD3">
        <v>2.6390573296152584</v>
      </c>
      <c r="AE3">
        <v>2.7080502011022101</v>
      </c>
      <c r="AF3">
        <v>2.7725887222397811</v>
      </c>
      <c r="AG3">
        <v>2.8332133440562162</v>
      </c>
      <c r="AH3">
        <v>2.8903717578961645</v>
      </c>
      <c r="AI3">
        <v>2.9444389791664403</v>
      </c>
      <c r="AJ3">
        <v>2.9957322735539909</v>
      </c>
      <c r="AK3">
        <v>3.044522437723423</v>
      </c>
      <c r="AL3">
        <v>3.0910424533583161</v>
      </c>
      <c r="AM3">
        <v>3.1354942159291497</v>
      </c>
      <c r="AN3">
        <v>3.1780538303479458</v>
      </c>
      <c r="AO3">
        <v>3.2188758248682006</v>
      </c>
      <c r="AP3">
        <v>3.2580965380214821</v>
      </c>
      <c r="AQ3">
        <v>3.2958368660043291</v>
      </c>
      <c r="AR3">
        <v>3.3322045101752038</v>
      </c>
      <c r="AS3">
        <v>3.3672958299864741</v>
      </c>
      <c r="AT3">
        <v>3.4011973816621555</v>
      </c>
      <c r="AU3">
        <v>3.4339872044851463</v>
      </c>
      <c r="AV3">
        <v>3.4657359027997265</v>
      </c>
      <c r="AW3">
        <v>3.4965075614664802</v>
      </c>
      <c r="AX3">
        <v>3.5263605246161616</v>
      </c>
      <c r="AY3">
        <v>3.5553480614894135</v>
      </c>
      <c r="AZ3">
        <v>3.5835189384561099</v>
      </c>
      <c r="BA3">
        <v>3.6109179126442243</v>
      </c>
      <c r="BB3">
        <v>3.6375861597263857</v>
      </c>
      <c r="BC3">
        <v>3.6635616461296463</v>
      </c>
      <c r="BD3">
        <v>3.6888794541139363</v>
      </c>
      <c r="BE3">
        <v>3.713572066704308</v>
      </c>
      <c r="BF3">
        <v>3.7376696182833684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1.0986122886681098</v>
      </c>
      <c r="J4" s="1">
        <f t="shared" si="2"/>
        <v>147265.00021294839</v>
      </c>
      <c r="K4" s="1"/>
      <c r="L4" s="1">
        <f t="shared" si="3"/>
        <v>11.899988965343862</v>
      </c>
      <c r="M4" s="1"/>
      <c r="N4" s="1">
        <f t="shared" si="4"/>
        <v>3.0119668009448027E-3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1.3862943611198906</v>
      </c>
      <c r="J5" s="1">
        <f t="shared" si="2"/>
        <v>154281.46461181401</v>
      </c>
      <c r="K5" s="1"/>
      <c r="L5" s="1">
        <f t="shared" si="3"/>
        <v>11.946533905483054</v>
      </c>
      <c r="M5" s="1"/>
      <c r="N5" s="1">
        <f t="shared" si="4"/>
        <v>2.1330187137422211E-3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1.6094379124341003</v>
      </c>
      <c r="J6" s="1">
        <f t="shared" si="2"/>
        <v>159953.26629354409</v>
      </c>
      <c r="K6" s="1"/>
      <c r="L6" s="1">
        <f t="shared" si="3"/>
        <v>11.982636965885288</v>
      </c>
      <c r="M6" s="1"/>
      <c r="N6" s="1">
        <f t="shared" si="4"/>
        <v>1.0214366430710733E-3</v>
      </c>
      <c r="O6" s="1"/>
      <c r="Q6" cm="1">
        <f t="array" ref="Q6:R7">MMULT(_xlfn.ANCHORARRAY(Q2),G2:H43)</f>
        <v>42</v>
      </c>
      <c r="R6">
        <v>117.77188139974507</v>
      </c>
      <c r="T6" cm="1">
        <f t="array" ref="T6:U7">MINVERSE(_xlfn.ANCHORARRAY(Q6))</f>
        <v>0.27316216558494216</v>
      </c>
      <c r="U6">
        <v>-8.8924544892175258E-2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1.791759469228055</v>
      </c>
      <c r="J7" s="1">
        <f t="shared" si="2"/>
        <v>164741.90466906084</v>
      </c>
      <c r="K7" s="1"/>
      <c r="L7" s="1">
        <f t="shared" si="3"/>
        <v>12.012135314095643</v>
      </c>
      <c r="M7" s="1"/>
      <c r="N7" s="1">
        <f t="shared" si="4"/>
        <v>1.7765141150386677E-5</v>
      </c>
      <c r="O7" s="1"/>
      <c r="Q7">
        <v>117.77188139974507</v>
      </c>
      <c r="R7">
        <v>361.77662991894766</v>
      </c>
      <c r="T7">
        <v>-8.8924544892175258E-2</v>
      </c>
      <c r="U7">
        <v>3.1712415910165166E-2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1.9459101490553132</v>
      </c>
      <c r="J8" s="1">
        <f t="shared" si="2"/>
        <v>168902.31552385434</v>
      </c>
      <c r="K8" s="1"/>
      <c r="L8" s="1">
        <f t="shared" si="3"/>
        <v>12.037075812138593</v>
      </c>
      <c r="M8" s="1"/>
      <c r="N8" s="1">
        <f t="shared" si="4"/>
        <v>3.5550442634243408E-3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2.0794415416798357</v>
      </c>
      <c r="J9" s="1">
        <f t="shared" si="2"/>
        <v>172591.05896533164</v>
      </c>
      <c r="K9" s="1"/>
      <c r="L9" s="1">
        <f>LN(J9)</f>
        <v>12.058680254234835</v>
      </c>
      <c r="M9" s="1"/>
      <c r="N9" s="1">
        <f t="shared" si="4"/>
        <v>1.4169837191868109E-3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2.1972245773362196</v>
      </c>
      <c r="J10" s="1">
        <f>EXP($V$27)*C10^$V$28</f>
        <v>175911.57319044345</v>
      </c>
      <c r="K10" s="1"/>
      <c r="L10" s="1">
        <f t="shared" si="3"/>
        <v>12.077736722708231</v>
      </c>
      <c r="M10" s="1"/>
      <c r="N10" s="1">
        <f t="shared" si="4"/>
        <v>7.3922121624472393E-3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11.722241207979494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2.3025850929940459</v>
      </c>
      <c r="J11" s="1">
        <f t="shared" si="2"/>
        <v>178935.97059132735</v>
      </c>
      <c r="K11" s="1"/>
      <c r="L11" s="1">
        <f t="shared" si="3"/>
        <v>12.094783314637068</v>
      </c>
      <c r="M11" s="1"/>
      <c r="N11" s="1">
        <f t="shared" si="4"/>
        <v>1.9718816841716716E-3</v>
      </c>
      <c r="O11" s="1"/>
      <c r="Q11">
        <v>1439.0833207677174</v>
      </c>
      <c r="S11">
        <v>0.16179298119799768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2.3978952727983707</v>
      </c>
      <c r="J12" s="1">
        <f t="shared" si="2"/>
        <v>181716.6405539308</v>
      </c>
      <c r="K12" s="1"/>
      <c r="L12" s="1">
        <f t="shared" si="3"/>
        <v>12.110203832766128</v>
      </c>
      <c r="M12" s="1"/>
      <c r="N12" s="1">
        <f t="shared" si="4"/>
        <v>8.0713111133627752E-3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2.4849066497880004</v>
      </c>
      <c r="J13" s="1">
        <f t="shared" si="2"/>
        <v>184292.9081230778</v>
      </c>
      <c r="K13" s="1"/>
      <c r="L13" s="1">
        <f t="shared" si="3"/>
        <v>12.124281662847423</v>
      </c>
      <c r="M13" s="1"/>
      <c r="N13" s="1">
        <f t="shared" si="4"/>
        <v>3.8195230336019186E-3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2.5649493574615367</v>
      </c>
      <c r="J14" s="1">
        <f t="shared" si="2"/>
        <v>186695.08642222994</v>
      </c>
      <c r="K14" s="1"/>
      <c r="L14" s="1">
        <f t="shared" si="3"/>
        <v>12.137232011145084</v>
      </c>
      <c r="M14" s="1"/>
      <c r="N14" s="1">
        <f t="shared" si="4"/>
        <v>8.7140241495778752E-3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2.6390573296152584</v>
      </c>
      <c r="J15" s="1">
        <f t="shared" si="2"/>
        <v>188947.06224953977</v>
      </c>
      <c r="K15" s="1"/>
      <c r="L15" s="1">
        <f t="shared" si="3"/>
        <v>12.149222160890373</v>
      </c>
      <c r="M15" s="1"/>
      <c r="N15" s="1">
        <f t="shared" si="4"/>
        <v>2.9199308313234327E-3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2.7080502011022101</v>
      </c>
      <c r="J16" s="1">
        <f t="shared" si="2"/>
        <v>191068.01120401762</v>
      </c>
      <c r="K16" s="1"/>
      <c r="L16" s="1">
        <f t="shared" si="3"/>
        <v>12.160384723249658</v>
      </c>
      <c r="M16" s="1"/>
      <c r="N16" s="1">
        <f t="shared" si="4"/>
        <v>9.1348000136959543E-3</v>
      </c>
      <c r="O16" s="1"/>
      <c r="Q16" s="1">
        <f>SUM(N2:N43)</f>
        <v>0.35926746356371603</v>
      </c>
      <c r="S16">
        <f>Q16/(COUNT(J2:J43)-2)</f>
        <v>8.9816865890929003E-3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2.7725887222397811</v>
      </c>
      <c r="J17" s="1">
        <f t="shared" si="2"/>
        <v>193073.5730939749</v>
      </c>
      <c r="K17" s="1"/>
      <c r="L17" s="1">
        <f t="shared" si="3"/>
        <v>12.170826602986615</v>
      </c>
      <c r="M17" s="1"/>
      <c r="N17" s="1">
        <f t="shared" si="4"/>
        <v>4.284112468097406E-3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2.8332133440562162</v>
      </c>
      <c r="J18" s="1">
        <f t="shared" si="2"/>
        <v>194976.68012350338</v>
      </c>
      <c r="K18" s="1"/>
      <c r="L18" s="1">
        <f t="shared" si="3"/>
        <v>12.180635241284296</v>
      </c>
      <c r="M18" s="1"/>
      <c r="N18" s="1">
        <f t="shared" si="4"/>
        <v>7.5210456964094237E-3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2.8903717578961645</v>
      </c>
      <c r="J19" s="1">
        <f t="shared" si="2"/>
        <v>196788.15454329835</v>
      </c>
      <c r="K19" s="1"/>
      <c r="L19" s="1">
        <f t="shared" si="3"/>
        <v>12.189883071460011</v>
      </c>
      <c r="M19" s="1"/>
      <c r="N19" s="1">
        <f t="shared" si="4"/>
        <v>1.7458924360946682E-3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2.9444389791664403</v>
      </c>
      <c r="J20" s="1">
        <f t="shared" si="2"/>
        <v>198517.1490098447</v>
      </c>
      <c r="K20" s="1"/>
      <c r="L20" s="1">
        <f t="shared" si="3"/>
        <v>12.198630768374422</v>
      </c>
      <c r="M20" s="1"/>
      <c r="N20" s="1">
        <f t="shared" si="4"/>
        <v>7.0798349110908886E-3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2.9957322735539909</v>
      </c>
      <c r="J21" s="1">
        <f t="shared" si="2"/>
        <v>200171.47704068266</v>
      </c>
      <c r="K21" s="1"/>
      <c r="L21" s="1">
        <f t="shared" si="3"/>
        <v>12.206929663388848</v>
      </c>
      <c r="M21" s="1"/>
      <c r="N21" s="1">
        <f t="shared" si="4"/>
        <v>3.0037489660315777E-3</v>
      </c>
      <c r="O21" s="1"/>
      <c r="Q21" s="13">
        <f>$S$16*T6</f>
        <v>2.4534569592818494E-3</v>
      </c>
      <c r="R21" s="13">
        <f>$S$16*U6</f>
        <v>-7.9869239229924012E-4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3.044522437723423</v>
      </c>
      <c r="J22" s="1">
        <f t="shared" si="2"/>
        <v>201757.86504835411</v>
      </c>
      <c r="K22" s="1"/>
      <c r="L22" s="1">
        <f t="shared" si="3"/>
        <v>12.214823569502961</v>
      </c>
      <c r="M22" s="1"/>
      <c r="N22" s="1">
        <f t="shared" si="4"/>
        <v>1.0023092981006974E-2</v>
      </c>
      <c r="O22" s="1"/>
      <c r="Q22" s="13">
        <f>$S$16*T7</f>
        <v>-7.9869239229924012E-4</v>
      </c>
      <c r="R22" s="13">
        <f>$S$16*U7</f>
        <v>2.848309806880668E-4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3.0910424533583161</v>
      </c>
      <c r="J23" s="1">
        <f t="shared" si="2"/>
        <v>203282.14736447259</v>
      </c>
      <c r="K23" s="1"/>
      <c r="L23" s="1">
        <f t="shared" si="3"/>
        <v>12.222350181517909</v>
      </c>
      <c r="M23" s="1"/>
      <c r="N23" s="1">
        <f t="shared" si="4"/>
        <v>2.177059758774556E-2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3.1354942159291497</v>
      </c>
      <c r="J24" s="1">
        <f t="shared" si="2"/>
        <v>204749.41912270564</v>
      </c>
      <c r="K24" s="1"/>
      <c r="L24" s="1">
        <f t="shared" si="3"/>
        <v>12.22954216470375</v>
      </c>
      <c r="M24" s="1"/>
      <c r="N24" s="1">
        <f t="shared" si="4"/>
        <v>1.6863188762315535E-2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3.1780538303479458</v>
      </c>
      <c r="J25" s="1">
        <f t="shared" si="2"/>
        <v>206164.15752075342</v>
      </c>
      <c r="K25" s="1"/>
      <c r="L25" s="1">
        <f t="shared" si="3"/>
        <v>12.236428011599203</v>
      </c>
      <c r="M25" s="1"/>
      <c r="N25" s="1">
        <f t="shared" si="4"/>
        <v>8.118021286518012E-3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3.2188758248682006</v>
      </c>
      <c r="J26" s="1">
        <f t="shared" si="2"/>
        <v>207530.3190310043</v>
      </c>
      <c r="K26" s="1"/>
      <c r="L26" s="1">
        <f t="shared" si="3"/>
        <v>12.243032723791083</v>
      </c>
      <c r="M26" s="1"/>
      <c r="N26" s="1">
        <f t="shared" si="4"/>
        <v>1.4560724553603115E-2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3.2580965380214821</v>
      </c>
      <c r="J27" s="1">
        <f t="shared" si="2"/>
        <v>208851.41809037115</v>
      </c>
      <c r="K27" s="1"/>
      <c r="L27" s="1">
        <f t="shared" si="3"/>
        <v>12.249378359896864</v>
      </c>
      <c r="M27" s="1"/>
      <c r="N27" s="1">
        <f t="shared" si="4"/>
        <v>1.3079984364494444E-3</v>
      </c>
      <c r="O27" s="1"/>
      <c r="Q27">
        <f>SQRT(Q21)</f>
        <v>4.9532382935629587E-2</v>
      </c>
      <c r="R27" t="e">
        <f>SQRT(R21)</f>
        <v>#NUM!</v>
      </c>
      <c r="U27" s="6">
        <v>0</v>
      </c>
      <c r="V27">
        <f>S10</f>
        <v>11.722241207979494</v>
      </c>
      <c r="W27">
        <f>Q27</f>
        <v>4.9532382935629587E-2</v>
      </c>
      <c r="X27">
        <f>V27/W27</f>
        <v>236.65813177640322</v>
      </c>
      <c r="Y27" s="11">
        <f>_xlfn.T.DIST.2T(X27,40)</f>
        <v>1.4739576275714603E-64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3.2958368660043291</v>
      </c>
      <c r="J28" s="1">
        <f t="shared" si="2"/>
        <v>210130.59136651459</v>
      </c>
      <c r="K28" s="1"/>
      <c r="L28" s="1">
        <f t="shared" si="3"/>
        <v>12.255484480072599</v>
      </c>
      <c r="M28" s="1"/>
      <c r="N28" s="1">
        <f t="shared" si="4"/>
        <v>2.9938271011474694E-3</v>
      </c>
      <c r="O28" s="1"/>
      <c r="Q28" t="e">
        <f>SQRT(Q22)</f>
        <v>#NUM!</v>
      </c>
      <c r="R28">
        <f>SQRT(R22)</f>
        <v>1.6876936353736327E-2</v>
      </c>
      <c r="U28" s="7">
        <v>1</v>
      </c>
      <c r="V28" s="5">
        <f>S11</f>
        <v>0.16179298119799768</v>
      </c>
      <c r="W28" s="5">
        <f>R28</f>
        <v>1.6876936353736327E-2</v>
      </c>
      <c r="X28" s="5">
        <f>V28/W28</f>
        <v>9.5866321829304564</v>
      </c>
      <c r="Y28" s="12">
        <f>_xlfn.T.DIST.2T(X28,40)</f>
        <v>6.4318424119460628E-12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3.3322045101752038</v>
      </c>
      <c r="J29" s="1">
        <f t="shared" si="2"/>
        <v>211370.65067464605</v>
      </c>
      <c r="K29" s="1"/>
      <c r="L29" s="1">
        <f t="shared" si="3"/>
        <v>12.261368509642153</v>
      </c>
      <c r="M29" s="1"/>
      <c r="N29" s="1">
        <f t="shared" si="4"/>
        <v>3.5689305943465289E-4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3.3672958299864741</v>
      </c>
      <c r="J30" s="1">
        <f t="shared" si="2"/>
        <v>212574.12687859274</v>
      </c>
      <c r="K30" s="1"/>
      <c r="L30" s="1">
        <f t="shared" si="3"/>
        <v>12.267046038888591</v>
      </c>
      <c r="M30" s="1"/>
      <c r="N30" s="1">
        <f t="shared" si="4"/>
        <v>2.5386394165201467E-4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3.4011973816621555</v>
      </c>
      <c r="J31" s="1">
        <f t="shared" si="2"/>
        <v>213743.30656682191</v>
      </c>
      <c r="K31" s="1"/>
      <c r="L31" s="1">
        <f t="shared" si="3"/>
        <v>12.272531072001438</v>
      </c>
      <c r="M31" s="1"/>
      <c r="N31" s="1">
        <f t="shared" si="4"/>
        <v>2.2829817870857277E-3</v>
      </c>
      <c r="O31" s="1"/>
      <c r="W31" t="s">
        <v>89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3.4339872044851463</v>
      </c>
      <c r="J32" s="1">
        <f t="shared" si="2"/>
        <v>214880.26289119865</v>
      </c>
      <c r="K32" s="1"/>
      <c r="L32" s="1">
        <f t="shared" si="3"/>
        <v>12.277836235188923</v>
      </c>
      <c r="M32" s="1"/>
      <c r="N32" s="1">
        <f t="shared" si="4"/>
        <v>1.0487682461210943E-3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3.4657359027997265</v>
      </c>
      <c r="J33" s="1">
        <f t="shared" si="2"/>
        <v>215986.88165394706</v>
      </c>
      <c r="K33" s="1"/>
      <c r="L33" s="1">
        <f t="shared" si="3"/>
        <v>12.282972951738396</v>
      </c>
      <c r="M33" s="1"/>
      <c r="N33" s="1">
        <f t="shared" si="4"/>
        <v>5.6212400709136738E-3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3.4965075614664802</v>
      </c>
      <c r="J34" s="1">
        <f t="shared" si="2"/>
        <v>217064.88349913887</v>
      </c>
      <c r="K34" s="1"/>
      <c r="L34" s="1">
        <f t="shared" si="3"/>
        <v>12.287951590130497</v>
      </c>
      <c r="M34" s="1"/>
      <c r="N34" s="1">
        <f t="shared" si="4"/>
        <v>2.7081483782616395E-3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3.5263605246161616</v>
      </c>
      <c r="J35" s="1">
        <f t="shared" si="2"/>
        <v>218115.84288968018</v>
      </c>
      <c r="K35" s="1"/>
      <c r="L35" s="1">
        <f t="shared" si="3"/>
        <v>12.292781590036077</v>
      </c>
      <c r="M35" s="1"/>
      <c r="N35" s="1">
        <f t="shared" si="4"/>
        <v>8.9956976240519165E-3</v>
      </c>
      <c r="O35" s="1"/>
      <c r="Z35" s="1">
        <f>V28*EXP(V27)*AVERAGE(C2:C43)^(V28-1)</f>
        <v>1524.070582122064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3.5553480614894135</v>
      </c>
      <c r="J36" s="1">
        <f t="shared" si="2"/>
        <v>219141.2044153774</v>
      </c>
      <c r="K36" s="1"/>
      <c r="L36" s="1">
        <f t="shared" si="3"/>
        <v>12.297471570044388</v>
      </c>
      <c r="M36" s="1"/>
      <c r="N36" s="1">
        <f t="shared" si="4"/>
        <v>3.8036862133450987E-3</v>
      </c>
      <c r="O36" s="1"/>
      <c r="Z36" t="s">
        <v>94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3.5835189384561099</v>
      </c>
      <c r="J37" s="1">
        <f t="shared" si="2"/>
        <v>220142.29687226107</v>
      </c>
      <c r="K37" s="1"/>
      <c r="L37" s="1">
        <f t="shared" si="3"/>
        <v>12.302029420211792</v>
      </c>
      <c r="M37" s="1"/>
      <c r="N37" s="1">
        <f t="shared" si="4"/>
        <v>9.9574059419934666E-3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3.6109179126442243</v>
      </c>
      <c r="J38" s="1">
        <f t="shared" si="2"/>
        <v>221120.34547064229</v>
      </c>
      <c r="K38" s="1"/>
      <c r="L38" s="1">
        <f t="shared" si="3"/>
        <v>12.306462381927453</v>
      </c>
      <c r="M38" s="1"/>
      <c r="N38" s="1">
        <f t="shared" si="4"/>
        <v>8.0389537278338519E-3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3.6375861597263857</v>
      </c>
      <c r="J39" s="1">
        <f t="shared" si="2"/>
        <v>222076.4824640122</v>
      </c>
      <c r="K39" s="1"/>
      <c r="L39" s="1">
        <f t="shared" si="3"/>
        <v>12.310777117126202</v>
      </c>
      <c r="M39" s="1"/>
      <c r="N39" s="1">
        <f t="shared" si="4"/>
        <v>1.9939116585331821E-2</v>
      </c>
      <c r="O39" s="1"/>
      <c r="Z39" s="15">
        <f>Z35/AVERAGE(J2:J43)</f>
        <v>7.7813779464239695E-3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3.6635616461296463</v>
      </c>
      <c r="J40" s="1">
        <f t="shared" si="2"/>
        <v>223011.75643887059</v>
      </c>
      <c r="K40" s="1"/>
      <c r="L40" s="1">
        <f t="shared" si="3"/>
        <v>12.314979768509453</v>
      </c>
      <c r="M40" s="1"/>
      <c r="N40" s="1">
        <f t="shared" si="4"/>
        <v>1.1820309689881455E-2</v>
      </c>
      <c r="O40" s="1"/>
      <c r="Z40" t="s">
        <v>95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3.6888794541139363</v>
      </c>
      <c r="J41" s="1">
        <f t="shared" si="2"/>
        <v>223927.14046390061</v>
      </c>
      <c r="K41" s="1"/>
      <c r="L41" s="1">
        <f t="shared" si="3"/>
        <v>12.319076012140629</v>
      </c>
      <c r="M41" s="1"/>
      <c r="N41" s="1">
        <f t="shared" si="4"/>
        <v>2.3580600684022186E-2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3.713572066704308</v>
      </c>
      <c r="J42" s="1">
        <f t="shared" si="2"/>
        <v>224823.5392633192</v>
      </c>
      <c r="K42" s="1"/>
      <c r="L42" s="1">
        <f t="shared" si="3"/>
        <v>12.323071103545193</v>
      </c>
      <c r="M42" s="1"/>
      <c r="N42" s="1">
        <f t="shared" si="4"/>
        <v>1.5115033272392792E-2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3.7376696182833684</v>
      </c>
      <c r="J43" s="1">
        <f t="shared" si="2"/>
        <v>225701.79555200736</v>
      </c>
      <c r="K43" s="1"/>
      <c r="L43" s="1">
        <f>LN(J43)</f>
        <v>12.326969918254742</v>
      </c>
      <c r="M43" s="1"/>
      <c r="N43" s="1">
        <f t="shared" si="4"/>
        <v>3.1217809871199445E-2</v>
      </c>
      <c r="Z43">
        <f>_xlfn.VAR.S(J2:J43)</f>
        <v>646239465.33865285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EC5E-0027-B44B-869C-A4F1E682391A}">
  <dimension ref="A1:I18"/>
  <sheetViews>
    <sheetView workbookViewId="0">
      <selection activeCell="L17" sqref="L17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0.83471434609018391</v>
      </c>
    </row>
    <row r="5" spans="1:9" x14ac:dyDescent="0.2">
      <c r="A5" t="s">
        <v>59</v>
      </c>
      <c r="B5">
        <v>0.6967480395687633</v>
      </c>
    </row>
    <row r="6" spans="1:9" x14ac:dyDescent="0.2">
      <c r="A6" t="s">
        <v>60</v>
      </c>
      <c r="B6">
        <v>0.68916674055798244</v>
      </c>
    </row>
    <row r="7" spans="1:9" x14ac:dyDescent="0.2">
      <c r="A7" t="s">
        <v>61</v>
      </c>
      <c r="B7">
        <v>9.4771760504344826E-2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0.82544858263371967</v>
      </c>
      <c r="D12">
        <v>0.82544858263371967</v>
      </c>
      <c r="E12">
        <v>91.903516610802356</v>
      </c>
      <c r="F12">
        <v>6.4318424119417451E-12</v>
      </c>
    </row>
    <row r="13" spans="1:9" x14ac:dyDescent="0.2">
      <c r="A13" t="s">
        <v>65</v>
      </c>
      <c r="B13">
        <v>40</v>
      </c>
      <c r="C13">
        <v>0.35926746356371581</v>
      </c>
      <c r="D13">
        <v>8.9816865890928951E-3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11.722241207979488</v>
      </c>
      <c r="C17">
        <v>4.9532382935629587E-2</v>
      </c>
      <c r="D17">
        <v>236.65813177640311</v>
      </c>
      <c r="E17">
        <v>1.4739576275715021E-64</v>
      </c>
      <c r="F17">
        <v>11.622132527805061</v>
      </c>
      <c r="G17">
        <v>11.822349888153916</v>
      </c>
      <c r="H17">
        <v>11.622132527805061</v>
      </c>
      <c r="I17">
        <v>11.822349888153916</v>
      </c>
    </row>
    <row r="18" spans="1:9" ht="17" thickBot="1" x14ac:dyDescent="0.25">
      <c r="A18" s="5" t="s">
        <v>80</v>
      </c>
      <c r="B18" s="5">
        <v>0.16179298119800156</v>
      </c>
      <c r="C18" s="5">
        <v>1.6876936353736327E-2</v>
      </c>
      <c r="D18" s="5">
        <v>9.5866321829306873</v>
      </c>
      <c r="E18" s="5">
        <v>6.4318424119416773E-12</v>
      </c>
      <c r="F18" s="5">
        <v>0.12768342046969977</v>
      </c>
      <c r="G18" s="5">
        <v>0.19590254192630335</v>
      </c>
      <c r="H18" s="5">
        <v>0.12768342046969977</v>
      </c>
      <c r="I18" s="5">
        <v>0.19590254192630335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9CAE-7131-CA48-8130-D8EA89637966}">
  <dimension ref="A1:BF43"/>
  <sheetViews>
    <sheetView zoomScaleNormal="100" workbookViewId="0">
      <selection activeCell="AC43" sqref="AC4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  <col min="25" max="25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C2</f>
        <v>1</v>
      </c>
      <c r="J2" s="1">
        <f>EXP($V$27+$V$28*C2)</f>
        <v>147347.0178152452</v>
      </c>
      <c r="K2" s="1"/>
      <c r="L2" s="1">
        <f>LN(J2)</f>
        <v>11.900545749177493</v>
      </c>
      <c r="M2" s="1"/>
      <c r="N2" s="1">
        <f>(L2-E2)^2</f>
        <v>5.4149664861568431E-4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C3</f>
        <v>2</v>
      </c>
      <c r="J3" s="1">
        <f t="shared" ref="J3:J43" si="2">EXP($V$27+$V$28*C3)</f>
        <v>149339.69450248897</v>
      </c>
      <c r="K3" s="1"/>
      <c r="L3" s="1">
        <f t="shared" ref="L3:L42" si="3">LN(J3)</f>
        <v>11.913978818936663</v>
      </c>
      <c r="M3" s="1"/>
      <c r="N3" s="1">
        <f t="shared" ref="N3:N43" si="4">(L3-E3)^2</f>
        <v>4.4678267640060965E-3</v>
      </c>
      <c r="O3" s="1"/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W3">
        <v>7</v>
      </c>
      <c r="X3">
        <v>8</v>
      </c>
      <c r="Y3">
        <v>9</v>
      </c>
      <c r="Z3">
        <v>10</v>
      </c>
      <c r="AA3">
        <v>11</v>
      </c>
      <c r="AB3">
        <v>12</v>
      </c>
      <c r="AC3">
        <v>13</v>
      </c>
      <c r="AD3">
        <v>14</v>
      </c>
      <c r="AE3">
        <v>15</v>
      </c>
      <c r="AF3">
        <v>16</v>
      </c>
      <c r="AG3">
        <v>17</v>
      </c>
      <c r="AH3">
        <v>18</v>
      </c>
      <c r="AI3">
        <v>19</v>
      </c>
      <c r="AJ3">
        <v>20</v>
      </c>
      <c r="AK3">
        <v>21</v>
      </c>
      <c r="AL3">
        <v>22</v>
      </c>
      <c r="AM3">
        <v>23</v>
      </c>
      <c r="AN3">
        <v>24</v>
      </c>
      <c r="AO3">
        <v>25</v>
      </c>
      <c r="AP3">
        <v>26</v>
      </c>
      <c r="AQ3">
        <v>27</v>
      </c>
      <c r="AR3">
        <v>28</v>
      </c>
      <c r="AS3">
        <v>29</v>
      </c>
      <c r="AT3">
        <v>30</v>
      </c>
      <c r="AU3">
        <v>31</v>
      </c>
      <c r="AV3">
        <v>32</v>
      </c>
      <c r="AW3">
        <v>33</v>
      </c>
      <c r="AX3">
        <v>34</v>
      </c>
      <c r="AY3">
        <v>35</v>
      </c>
      <c r="AZ3">
        <v>36</v>
      </c>
      <c r="BA3">
        <v>37</v>
      </c>
      <c r="BB3">
        <v>38</v>
      </c>
      <c r="BC3">
        <v>39</v>
      </c>
      <c r="BD3">
        <v>40</v>
      </c>
      <c r="BE3">
        <v>41</v>
      </c>
      <c r="BF3">
        <v>42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3</v>
      </c>
      <c r="J4" s="1">
        <f t="shared" si="2"/>
        <v>151359.31954904669</v>
      </c>
      <c r="K4" s="1"/>
      <c r="L4" s="1">
        <f t="shared" si="3"/>
        <v>11.927411888695834</v>
      </c>
      <c r="M4" s="1"/>
      <c r="N4" s="1">
        <f t="shared" si="4"/>
        <v>7.5396730691300036E-4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4</v>
      </c>
      <c r="J5" s="1">
        <f t="shared" si="2"/>
        <v>153406.25739641217</v>
      </c>
      <c r="K5" s="1"/>
      <c r="L5" s="1">
        <f t="shared" si="3"/>
        <v>11.940844958455004</v>
      </c>
      <c r="M5" s="1"/>
      <c r="N5" s="1">
        <f t="shared" si="4"/>
        <v>2.6908664948094539E-3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5</v>
      </c>
      <c r="J6" s="1">
        <f t="shared" si="2"/>
        <v>155480.87741467712</v>
      </c>
      <c r="K6" s="1"/>
      <c r="L6" s="1">
        <f t="shared" si="3"/>
        <v>11.954278028214175</v>
      </c>
      <c r="M6" s="1"/>
      <c r="N6" s="1">
        <f t="shared" si="4"/>
        <v>1.2967091384654922E-5</v>
      </c>
      <c r="O6" s="1"/>
      <c r="Q6" cm="1">
        <f t="array" ref="Q6:R7">MMULT(_xlfn.ANCHORARRAY(Q2),G2:H43)</f>
        <v>42</v>
      </c>
      <c r="R6">
        <v>903</v>
      </c>
      <c r="T6" cm="1">
        <f t="array" ref="T6:U7">MINVERSE(_xlfn.ANCHORARRAY(Q6))</f>
        <v>9.8722415795586521E-2</v>
      </c>
      <c r="U6">
        <v>-3.4843205574912892E-3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6</v>
      </c>
      <c r="J7" s="1">
        <f t="shared" si="2"/>
        <v>157583.55396918298</v>
      </c>
      <c r="K7" s="1"/>
      <c r="L7" s="1">
        <f t="shared" si="3"/>
        <v>11.967711097973346</v>
      </c>
      <c r="M7" s="1"/>
      <c r="N7" s="1">
        <f t="shared" si="4"/>
        <v>1.6167914007846496E-3</v>
      </c>
      <c r="O7" s="1"/>
      <c r="Q7">
        <v>903</v>
      </c>
      <c r="R7">
        <v>25585</v>
      </c>
      <c r="T7">
        <v>-3.4843205574912892E-3</v>
      </c>
      <c r="U7">
        <v>1.6206142127866461E-4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7</v>
      </c>
      <c r="J8" s="1">
        <f t="shared" si="2"/>
        <v>159714.66648807455</v>
      </c>
      <c r="K8" s="1"/>
      <c r="L8" s="1">
        <f t="shared" si="3"/>
        <v>11.981144167732516</v>
      </c>
      <c r="M8" s="1"/>
      <c r="N8" s="1">
        <f t="shared" si="4"/>
        <v>1.3634907223796821E-5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8</v>
      </c>
      <c r="J9" s="1">
        <f t="shared" si="2"/>
        <v>161874.59953076942</v>
      </c>
      <c r="K9" s="1"/>
      <c r="L9" s="1">
        <f t="shared" si="3"/>
        <v>11.994577237491686</v>
      </c>
      <c r="M9" s="1"/>
      <c r="N9" s="1">
        <f t="shared" si="4"/>
        <v>7.0014073120906631E-4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9</v>
      </c>
      <c r="J10" s="1">
        <f t="shared" si="2"/>
        <v>164063.74285735062</v>
      </c>
      <c r="K10" s="1"/>
      <c r="L10" s="1">
        <f t="shared" si="3"/>
        <v>12.008010307250856</v>
      </c>
      <c r="M10" s="1"/>
      <c r="N10" s="1">
        <f t="shared" si="4"/>
        <v>2.641131832855597E-4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11.887112679418323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10</v>
      </c>
      <c r="J11" s="1">
        <f t="shared" si="2"/>
        <v>166282.49149889912</v>
      </c>
      <c r="K11" s="1"/>
      <c r="L11" s="1">
        <f t="shared" si="3"/>
        <v>12.021443377010026</v>
      </c>
      <c r="M11" s="1"/>
      <c r="N11" s="1">
        <f t="shared" si="4"/>
        <v>8.3718001290877309E-4</v>
      </c>
      <c r="O11" s="1"/>
      <c r="Q11">
        <v>11077.747839303129</v>
      </c>
      <c r="S11">
        <v>1.3433069759170468E-2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11</v>
      </c>
      <c r="J12" s="1">
        <f t="shared" si="2"/>
        <v>168531.24582877758</v>
      </c>
      <c r="K12" s="1"/>
      <c r="L12" s="1">
        <f t="shared" si="3"/>
        <v>12.034876446769198</v>
      </c>
      <c r="M12" s="1"/>
      <c r="N12" s="1">
        <f t="shared" si="4"/>
        <v>2.1062977908775939E-4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12</v>
      </c>
      <c r="J13" s="1">
        <f t="shared" si="2"/>
        <v>170810.41163487648</v>
      </c>
      <c r="K13" s="1"/>
      <c r="L13" s="1">
        <f t="shared" si="3"/>
        <v>12.048309516528368</v>
      </c>
      <c r="M13" s="1"/>
      <c r="N13" s="1">
        <f t="shared" si="4"/>
        <v>2.0078483168905293E-4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13</v>
      </c>
      <c r="J14" s="1">
        <f t="shared" si="2"/>
        <v>173120.40019284043</v>
      </c>
      <c r="K14" s="1"/>
      <c r="L14" s="1">
        <f t="shared" si="3"/>
        <v>12.061742586287538</v>
      </c>
      <c r="M14" s="1"/>
      <c r="N14" s="1">
        <f t="shared" si="4"/>
        <v>3.1896219511648943E-4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14</v>
      </c>
      <c r="J15" s="1">
        <f t="shared" si="2"/>
        <v>175461.62834028204</v>
      </c>
      <c r="K15" s="1"/>
      <c r="L15" s="1">
        <f t="shared" si="3"/>
        <v>12.07517565604671</v>
      </c>
      <c r="M15" s="1"/>
      <c r="N15" s="1">
        <f t="shared" si="4"/>
        <v>4.004049230216895E-4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15</v>
      </c>
      <c r="J16" s="1">
        <f t="shared" si="2"/>
        <v>177834.51855199921</v>
      </c>
      <c r="K16" s="1"/>
      <c r="L16" s="1">
        <f t="shared" si="3"/>
        <v>12.08860872580588</v>
      </c>
      <c r="M16" s="1"/>
      <c r="N16" s="1">
        <f t="shared" si="4"/>
        <v>5.6644715334523807E-4</v>
      </c>
      <c r="O16" s="1"/>
      <c r="Q16" s="1">
        <f>SUM(N2:N43)</f>
        <v>7.1265591851053509E-2</v>
      </c>
      <c r="S16">
        <f>Q16/(COUNT(J2:J43)-2)</f>
        <v>1.7816397962763376E-3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16</v>
      </c>
      <c r="J17" s="1">
        <f t="shared" si="2"/>
        <v>180239.49901621274</v>
      </c>
      <c r="K17" s="1"/>
      <c r="L17" s="1">
        <f t="shared" si="3"/>
        <v>12.10204179556505</v>
      </c>
      <c r="M17" s="1"/>
      <c r="N17" s="1">
        <f t="shared" si="4"/>
        <v>1.1100062158757656E-5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17</v>
      </c>
      <c r="J18" s="1">
        <f t="shared" si="2"/>
        <v>182677.00371183164</v>
      </c>
      <c r="K18" s="1"/>
      <c r="L18" s="1">
        <f t="shared" si="3"/>
        <v>12.11547486532422</v>
      </c>
      <c r="M18" s="1"/>
      <c r="N18" s="1">
        <f t="shared" si="4"/>
        <v>4.6498827060834411E-4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18</v>
      </c>
      <c r="J19" s="1">
        <f t="shared" si="2"/>
        <v>185147.47248676495</v>
      </c>
      <c r="K19" s="1"/>
      <c r="L19" s="1">
        <f t="shared" si="3"/>
        <v>12.12890793508339</v>
      </c>
      <c r="M19" s="1"/>
      <c r="N19" s="1">
        <f t="shared" si="4"/>
        <v>3.6830440938808709E-4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19</v>
      </c>
      <c r="J20" s="1">
        <f t="shared" si="2"/>
        <v>187651.35113729278</v>
      </c>
      <c r="K20" s="1"/>
      <c r="L20" s="1">
        <f t="shared" si="3"/>
        <v>12.142341004842562</v>
      </c>
      <c r="M20" s="1"/>
      <c r="N20" s="1">
        <f t="shared" si="4"/>
        <v>7.7573342099926661E-4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20</v>
      </c>
      <c r="J21" s="1">
        <f t="shared" si="2"/>
        <v>190189.09148850865</v>
      </c>
      <c r="K21" s="1"/>
      <c r="L21" s="1">
        <f t="shared" si="3"/>
        <v>12.155774074601732</v>
      </c>
      <c r="M21" s="1"/>
      <c r="N21" s="1">
        <f t="shared" si="4"/>
        <v>1.3328921118515923E-5</v>
      </c>
      <c r="O21" s="1"/>
      <c r="Q21" s="13">
        <f>$S$16*T6</f>
        <v>1.7588778476595668E-4</v>
      </c>
      <c r="R21" s="13">
        <f>$S$16*U6</f>
        <v>-6.2078041682102352E-6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21</v>
      </c>
      <c r="J22" s="1">
        <f t="shared" si="2"/>
        <v>192761.15147585381</v>
      </c>
      <c r="K22" s="1"/>
      <c r="L22" s="1">
        <f t="shared" si="3"/>
        <v>12.169207144360902</v>
      </c>
      <c r="M22" s="1"/>
      <c r="N22" s="1">
        <f t="shared" si="4"/>
        <v>2.9701380775776789E-3</v>
      </c>
      <c r="O22" s="1"/>
      <c r="Q22" s="13">
        <f>$S$16*T7</f>
        <v>-6.2078041682102352E-6</v>
      </c>
      <c r="R22" s="13">
        <f>$S$16*U7</f>
        <v>2.8873507759117374E-7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22</v>
      </c>
      <c r="J23" s="1">
        <f t="shared" si="2"/>
        <v>195367.99522775027</v>
      </c>
      <c r="K23" s="1"/>
      <c r="L23" s="1">
        <f t="shared" si="3"/>
        <v>12.182640214120074</v>
      </c>
      <c r="M23" s="1"/>
      <c r="N23" s="1">
        <f t="shared" si="4"/>
        <v>1.162917669347298E-2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23</v>
      </c>
      <c r="J24" s="1">
        <f t="shared" si="2"/>
        <v>198010.09314935209</v>
      </c>
      <c r="K24" s="1"/>
      <c r="L24" s="1">
        <f t="shared" si="3"/>
        <v>12.196073283879244</v>
      </c>
      <c r="M24" s="1"/>
      <c r="N24" s="1">
        <f t="shared" si="4"/>
        <v>9.2909280589346006E-3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24</v>
      </c>
      <c r="J25" s="1">
        <f t="shared" si="2"/>
        <v>200687.92200743203</v>
      </c>
      <c r="K25" s="1"/>
      <c r="L25" s="1">
        <f t="shared" si="3"/>
        <v>12.209506353638414</v>
      </c>
      <c r="M25" s="1"/>
      <c r="N25" s="1">
        <f t="shared" si="4"/>
        <v>3.9915108169588757E-3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25</v>
      </c>
      <c r="J26" s="1">
        <f t="shared" si="2"/>
        <v>203401.96501641261</v>
      </c>
      <c r="K26" s="1"/>
      <c r="L26" s="1">
        <f t="shared" si="3"/>
        <v>12.222939423397584</v>
      </c>
      <c r="M26" s="1"/>
      <c r="N26" s="1">
        <f t="shared" si="4"/>
        <v>1.0115235469384696E-2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26</v>
      </c>
      <c r="J27" s="1">
        <f t="shared" si="2"/>
        <v>206152.71192556276</v>
      </c>
      <c r="K27" s="1"/>
      <c r="L27" s="1">
        <f t="shared" si="3"/>
        <v>12.236372493156754</v>
      </c>
      <c r="M27" s="1"/>
      <c r="N27" s="1">
        <f t="shared" si="4"/>
        <v>5.3640386338095795E-4</v>
      </c>
      <c r="O27" s="1"/>
      <c r="Q27">
        <f>SQRT(Q21)</f>
        <v>1.3262269216312746E-2</v>
      </c>
      <c r="R27" t="e">
        <f>SQRT(R21)</f>
        <v>#NUM!</v>
      </c>
      <c r="U27" s="6">
        <v>0</v>
      </c>
      <c r="V27">
        <f>S10</f>
        <v>11.887112679418323</v>
      </c>
      <c r="W27">
        <f>Q27</f>
        <v>1.3262269216312746E-2</v>
      </c>
      <c r="X27">
        <f>V27/W27</f>
        <v>896.31061513945406</v>
      </c>
      <c r="Y27" s="11">
        <f>_xlfn.T.DIST.2T(X27,40)</f>
        <v>1.0980751817544819E-87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27</v>
      </c>
      <c r="J28" s="1">
        <f t="shared" si="2"/>
        <v>208940.6591073733</v>
      </c>
      <c r="K28" s="1"/>
      <c r="L28" s="1">
        <f t="shared" si="3"/>
        <v>12.249805562915926</v>
      </c>
      <c r="M28" s="1"/>
      <c r="N28" s="1">
        <f t="shared" si="4"/>
        <v>2.4046233457764511E-3</v>
      </c>
      <c r="O28" s="1"/>
      <c r="Q28" t="e">
        <f>SQRT(Q22)</f>
        <v>#NUM!</v>
      </c>
      <c r="R28">
        <f>SQRT(R22)</f>
        <v>5.3734074625992557E-4</v>
      </c>
      <c r="U28" s="7">
        <v>1</v>
      </c>
      <c r="V28" s="5">
        <f>S11</f>
        <v>1.3433069759170468E-2</v>
      </c>
      <c r="W28" s="5">
        <f>R28</f>
        <v>5.3734074625992557E-4</v>
      </c>
      <c r="X28" s="5">
        <f>V28/W28</f>
        <v>24.999164594662147</v>
      </c>
      <c r="Y28" s="12">
        <f>_xlfn.T.DIST.2T(X28,40)</f>
        <v>4.9695921345740547E-26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28</v>
      </c>
      <c r="J29" s="1">
        <f t="shared" si="2"/>
        <v>211766.30964712609</v>
      </c>
      <c r="K29" s="1"/>
      <c r="L29" s="1">
        <f t="shared" si="3"/>
        <v>12.263238632675096</v>
      </c>
      <c r="M29" s="1"/>
      <c r="N29" s="1">
        <f t="shared" si="4"/>
        <v>4.3104970254591741E-4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29</v>
      </c>
      <c r="J30" s="1">
        <f t="shared" si="2"/>
        <v>214630.17343367779</v>
      </c>
      <c r="K30" s="1"/>
      <c r="L30" s="1">
        <f t="shared" si="3"/>
        <v>12.276671702434266</v>
      </c>
      <c r="M30" s="1"/>
      <c r="N30" s="1">
        <f t="shared" si="4"/>
        <v>6.5325082074966102E-4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30</v>
      </c>
      <c r="J31" s="1">
        <f t="shared" si="2"/>
        <v>217532.76725146853</v>
      </c>
      <c r="K31" s="1"/>
      <c r="L31" s="1">
        <f t="shared" si="3"/>
        <v>12.290104772193438</v>
      </c>
      <c r="M31" s="1"/>
      <c r="N31" s="1">
        <f t="shared" si="4"/>
        <v>9.1245429927966663E-4</v>
      </c>
      <c r="O31" s="1"/>
      <c r="W31" t="s">
        <v>90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31</v>
      </c>
      <c r="J32" s="1">
        <f t="shared" si="2"/>
        <v>220474.61487377432</v>
      </c>
      <c r="K32" s="1"/>
      <c r="L32" s="1">
        <f t="shared" si="3"/>
        <v>12.303537841952608</v>
      </c>
      <c r="M32" s="1"/>
      <c r="N32" s="1">
        <f t="shared" si="4"/>
        <v>4.4663622123324552E-5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32</v>
      </c>
      <c r="J33" s="1">
        <f t="shared" si="2"/>
        <v>223456.24715722431</v>
      </c>
      <c r="K33" s="1"/>
      <c r="L33" s="1">
        <f t="shared" si="3"/>
        <v>12.316970911711778</v>
      </c>
      <c r="M33" s="1"/>
      <c r="N33" s="1">
        <f t="shared" si="4"/>
        <v>1.6791120410863131E-3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33</v>
      </c>
      <c r="J34" s="1">
        <f t="shared" si="2"/>
        <v>226478.20213759251</v>
      </c>
      <c r="K34" s="1"/>
      <c r="L34" s="1">
        <f t="shared" si="3"/>
        <v>12.330403981470948</v>
      </c>
      <c r="M34" s="1"/>
      <c r="N34" s="1">
        <f t="shared" si="4"/>
        <v>9.191980390997033E-5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34</v>
      </c>
      <c r="J35" s="1">
        <f t="shared" si="2"/>
        <v>229541.02512688661</v>
      </c>
      <c r="K35" s="1"/>
      <c r="L35" s="1">
        <f t="shared" si="3"/>
        <v>12.343837051230118</v>
      </c>
      <c r="M35" s="1"/>
      <c r="N35" s="1">
        <f t="shared" si="4"/>
        <v>1.9175807742311361E-3</v>
      </c>
      <c r="O35" s="1"/>
      <c r="Z35" s="1">
        <f>V28*EXP(V27+V28*AVERAGE(C2:C43))</f>
        <v>2606.8241520793063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35</v>
      </c>
      <c r="J36" s="1">
        <f t="shared" si="2"/>
        <v>232645.26881175008</v>
      </c>
      <c r="K36" s="1"/>
      <c r="L36" s="1">
        <f t="shared" si="3"/>
        <v>12.357270120989289</v>
      </c>
      <c r="M36" s="1"/>
      <c r="N36" s="1">
        <f t="shared" si="4"/>
        <v>3.5174288902667827E-6</v>
      </c>
      <c r="O36" s="1"/>
      <c r="Z36" t="s">
        <v>97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36</v>
      </c>
      <c r="J37" s="1">
        <f t="shared" si="2"/>
        <v>235791.49335319287</v>
      </c>
      <c r="K37" s="1"/>
      <c r="L37" s="1">
        <f t="shared" si="3"/>
        <v>12.370703190748459</v>
      </c>
      <c r="M37" s="1"/>
      <c r="N37" s="1">
        <f t="shared" si="4"/>
        <v>9.680207544652947E-4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37</v>
      </c>
      <c r="J38" s="1">
        <f t="shared" si="2"/>
        <v>238980.26648767493</v>
      </c>
      <c r="K38" s="1"/>
      <c r="L38" s="1">
        <f t="shared" si="3"/>
        <v>12.38413626050763</v>
      </c>
      <c r="M38" s="1"/>
      <c r="N38" s="1">
        <f t="shared" si="4"/>
        <v>1.4367220381720285E-4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38</v>
      </c>
      <c r="J39" s="1">
        <f t="shared" si="2"/>
        <v>242212.16362955305</v>
      </c>
      <c r="K39" s="1"/>
      <c r="L39" s="1">
        <f t="shared" si="3"/>
        <v>12.397569330266801</v>
      </c>
      <c r="M39" s="1"/>
      <c r="N39" s="1">
        <f t="shared" si="4"/>
        <v>2.9608533216208309E-3</v>
      </c>
      <c r="O39" s="1"/>
      <c r="Z39" s="15">
        <f>Z35/AVERAGE(J2:J43)</f>
        <v>1.3256648507402066E-2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39</v>
      </c>
      <c r="J40" s="1">
        <f t="shared" si="2"/>
        <v>245487.76797491324</v>
      </c>
      <c r="K40" s="1"/>
      <c r="L40" s="1">
        <f t="shared" si="3"/>
        <v>12.411002400025971</v>
      </c>
      <c r="M40" s="1"/>
      <c r="N40" s="1">
        <f t="shared" si="4"/>
        <v>1.6125485162478274E-4</v>
      </c>
      <c r="O40" s="1"/>
      <c r="Z40" t="s">
        <v>98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40</v>
      </c>
      <c r="J41" s="1">
        <f t="shared" si="2"/>
        <v>248807.67060681095</v>
      </c>
      <c r="K41" s="1"/>
      <c r="L41" s="1">
        <f t="shared" si="3"/>
        <v>12.424435469785141</v>
      </c>
      <c r="M41" s="1"/>
      <c r="N41" s="1">
        <f t="shared" si="4"/>
        <v>2.3232693959983498E-3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41</v>
      </c>
      <c r="J42" s="1">
        <f t="shared" si="2"/>
        <v>252172.47060193052</v>
      </c>
      <c r="K42" s="1"/>
      <c r="L42" s="1">
        <f t="shared" si="3"/>
        <v>12.437868539544311</v>
      </c>
      <c r="M42" s="1"/>
      <c r="N42" s="1">
        <f t="shared" si="4"/>
        <v>6.6353659733786569E-5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42</v>
      </c>
      <c r="J43" s="1">
        <f t="shared" si="2"/>
        <v>255582.77513868877</v>
      </c>
      <c r="K43" s="1"/>
      <c r="L43" s="1">
        <f>LN(J43)</f>
        <v>12.451301609303481</v>
      </c>
      <c r="M43" s="1"/>
      <c r="N43" s="1">
        <f t="shared" si="4"/>
        <v>2.7409343378168366E-3</v>
      </c>
      <c r="Z43">
        <f>_xlfn.VAR.S(J2:J43)</f>
        <v>1044581860.3412014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86DB-1793-DC41-8938-6DAE1AD050A4}">
  <dimension ref="A1:I18"/>
  <sheetViews>
    <sheetView workbookViewId="0">
      <selection activeCell="M32" sqref="M32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0.96945646921075945</v>
      </c>
    </row>
    <row r="5" spans="1:9" x14ac:dyDescent="0.2">
      <c r="A5" t="s">
        <v>59</v>
      </c>
      <c r="B5">
        <v>0.93984584569459217</v>
      </c>
    </row>
    <row r="6" spans="1:9" x14ac:dyDescent="0.2">
      <c r="A6" t="s">
        <v>60</v>
      </c>
      <c r="B6">
        <v>0.9383419918369571</v>
      </c>
    </row>
    <row r="7" spans="1:9" x14ac:dyDescent="0.2">
      <c r="A7" t="s">
        <v>61</v>
      </c>
      <c r="B7">
        <v>4.2209475195462115E-2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1.1134504543463823</v>
      </c>
      <c r="D12">
        <v>1.1134504543463823</v>
      </c>
      <c r="E12">
        <v>624.95823043104417</v>
      </c>
      <c r="F12">
        <v>4.9695921345688562E-26</v>
      </c>
    </row>
    <row r="13" spans="1:9" x14ac:dyDescent="0.2">
      <c r="A13" t="s">
        <v>65</v>
      </c>
      <c r="B13">
        <v>40</v>
      </c>
      <c r="C13">
        <v>7.1265591851053273E-2</v>
      </c>
      <c r="D13">
        <v>1.7816397962763318E-3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11.887112679418321</v>
      </c>
      <c r="C17">
        <v>1.3262269216312721E-2</v>
      </c>
      <c r="D17">
        <v>896.31061513945554</v>
      </c>
      <c r="E17">
        <v>1.0980751817544194E-87</v>
      </c>
      <c r="F17">
        <v>11.860308633485614</v>
      </c>
      <c r="G17">
        <v>11.913916725351028</v>
      </c>
      <c r="H17">
        <v>11.860308633485614</v>
      </c>
      <c r="I17">
        <v>11.913916725351028</v>
      </c>
    </row>
    <row r="18" spans="1:9" ht="17" thickBot="1" x14ac:dyDescent="0.25">
      <c r="A18" s="5" t="s">
        <v>80</v>
      </c>
      <c r="B18" s="5">
        <v>1.3433069759170822E-2</v>
      </c>
      <c r="C18" s="5">
        <v>5.3734074625992471E-4</v>
      </c>
      <c r="D18" s="5">
        <v>24.999164594662847</v>
      </c>
      <c r="E18" s="5">
        <v>4.9695921345688212E-26</v>
      </c>
      <c r="F18" s="5">
        <v>1.2347063600696082E-2</v>
      </c>
      <c r="G18" s="5">
        <v>1.4519075917645563E-2</v>
      </c>
      <c r="H18" s="5">
        <v>1.2347063600696082E-2</v>
      </c>
      <c r="I18" s="5">
        <v>1.4519075917645563E-2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E28BA-5071-054D-8FE0-69CDFCB159BE}">
  <dimension ref="A1:BE49"/>
  <sheetViews>
    <sheetView topLeftCell="A14" zoomScaleNormal="100" workbookViewId="0">
      <selection activeCell="U21" sqref="U21"/>
    </sheetView>
  </sheetViews>
  <sheetFormatPr baseColWidth="10" defaultRowHeight="16" x14ac:dyDescent="0.2"/>
  <cols>
    <col min="13" max="13" width="13.5" customWidth="1"/>
    <col min="16" max="16" width="13.6640625" bestFit="1" customWidth="1"/>
    <col min="18" max="18" width="12.1640625" bestFit="1" customWidth="1"/>
    <col min="20" max="20" width="12.1640625" bestFit="1" customWidth="1"/>
    <col min="21" max="21" width="11.1640625" bestFit="1" customWidth="1"/>
    <col min="23" max="23" width="10.83203125" customWidth="1"/>
    <col min="24" max="25" width="12.1640625" bestFit="1" customWidth="1"/>
  </cols>
  <sheetData>
    <row r="1" spans="1:57" x14ac:dyDescent="0.2">
      <c r="A1" s="3" t="s">
        <v>81</v>
      </c>
      <c r="B1" s="3"/>
      <c r="C1" s="3" t="s">
        <v>82</v>
      </c>
      <c r="E1" s="3"/>
      <c r="G1" s="3"/>
      <c r="K1" s="3"/>
      <c r="M1" s="3"/>
      <c r="P1" s="3"/>
    </row>
    <row r="2" spans="1:57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I2">
        <f>C2^2</f>
        <v>1</v>
      </c>
      <c r="K2" s="1">
        <f>$V$31+$V$33*C2^2</f>
        <v>157572.51226694367</v>
      </c>
      <c r="L2" s="1"/>
      <c r="M2" s="1">
        <f>(K2-A2)^2</f>
        <v>45650458.013360262</v>
      </c>
      <c r="N2" s="1"/>
      <c r="P2" cm="1">
        <f t="array" ref="P2:BE4">TRANSPOSE(G2:I43)</f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</row>
    <row r="3" spans="1:57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I3">
        <f t="shared" ref="I3:I43" si="2">C3^2</f>
        <v>4</v>
      </c>
      <c r="K3" s="1">
        <f t="shared" ref="K3:K43" si="3">$V$31+$V$33*C3^2</f>
        <v>157749.42363223748</v>
      </c>
      <c r="L3" s="1"/>
      <c r="M3" s="1">
        <f t="shared" ref="M3:M43" si="4">(K3-A3)^2</f>
        <v>3661774.5152592063</v>
      </c>
      <c r="N3" s="1"/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Z3">
        <v>11</v>
      </c>
      <c r="AA3">
        <v>12</v>
      </c>
      <c r="AB3">
        <v>13</v>
      </c>
      <c r="AC3">
        <v>14</v>
      </c>
      <c r="AD3">
        <v>15</v>
      </c>
      <c r="AE3">
        <v>16</v>
      </c>
      <c r="AF3">
        <v>17</v>
      </c>
      <c r="AG3">
        <v>18</v>
      </c>
      <c r="AH3">
        <v>19</v>
      </c>
      <c r="AI3">
        <v>20</v>
      </c>
      <c r="AJ3">
        <v>21</v>
      </c>
      <c r="AK3">
        <v>22</v>
      </c>
      <c r="AL3">
        <v>23</v>
      </c>
      <c r="AM3">
        <v>24</v>
      </c>
      <c r="AN3">
        <v>25</v>
      </c>
      <c r="AO3">
        <v>26</v>
      </c>
      <c r="AP3">
        <v>27</v>
      </c>
      <c r="AQ3">
        <v>28</v>
      </c>
      <c r="AR3">
        <v>29</v>
      </c>
      <c r="AS3">
        <v>30</v>
      </c>
      <c r="AT3">
        <v>31</v>
      </c>
      <c r="AU3">
        <v>32</v>
      </c>
      <c r="AV3">
        <v>33</v>
      </c>
      <c r="AW3">
        <v>34</v>
      </c>
      <c r="AX3">
        <v>35</v>
      </c>
      <c r="AY3">
        <v>36</v>
      </c>
      <c r="AZ3">
        <v>37</v>
      </c>
      <c r="BA3">
        <v>38</v>
      </c>
      <c r="BB3">
        <v>39</v>
      </c>
      <c r="BC3">
        <v>40</v>
      </c>
      <c r="BD3">
        <v>41</v>
      </c>
      <c r="BE3">
        <v>42</v>
      </c>
    </row>
    <row r="4" spans="1:57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I4">
        <f t="shared" si="2"/>
        <v>9</v>
      </c>
      <c r="K4" s="1">
        <f t="shared" si="3"/>
        <v>158044.27590772716</v>
      </c>
      <c r="L4" s="1"/>
      <c r="M4" s="1">
        <f t="shared" si="4"/>
        <v>6107204.6121127093</v>
      </c>
      <c r="N4" s="1"/>
      <c r="P4">
        <v>1</v>
      </c>
      <c r="Q4">
        <v>4</v>
      </c>
      <c r="R4">
        <v>9</v>
      </c>
      <c r="S4">
        <v>16</v>
      </c>
      <c r="T4">
        <v>25</v>
      </c>
      <c r="U4">
        <v>36</v>
      </c>
      <c r="V4">
        <v>49</v>
      </c>
      <c r="W4">
        <v>64</v>
      </c>
      <c r="X4">
        <v>81</v>
      </c>
      <c r="Y4">
        <v>100</v>
      </c>
      <c r="Z4">
        <v>121</v>
      </c>
      <c r="AA4">
        <v>144</v>
      </c>
      <c r="AB4">
        <v>169</v>
      </c>
      <c r="AC4">
        <v>196</v>
      </c>
      <c r="AD4">
        <v>225</v>
      </c>
      <c r="AE4">
        <v>256</v>
      </c>
      <c r="AF4">
        <v>289</v>
      </c>
      <c r="AG4">
        <v>324</v>
      </c>
      <c r="AH4">
        <v>361</v>
      </c>
      <c r="AI4">
        <v>400</v>
      </c>
      <c r="AJ4">
        <v>441</v>
      </c>
      <c r="AK4">
        <v>484</v>
      </c>
      <c r="AL4">
        <v>529</v>
      </c>
      <c r="AM4">
        <v>576</v>
      </c>
      <c r="AN4">
        <v>625</v>
      </c>
      <c r="AO4">
        <v>676</v>
      </c>
      <c r="AP4">
        <v>729</v>
      </c>
      <c r="AQ4">
        <v>784</v>
      </c>
      <c r="AR4">
        <v>841</v>
      </c>
      <c r="AS4">
        <v>900</v>
      </c>
      <c r="AT4">
        <v>961</v>
      </c>
      <c r="AU4">
        <v>1024</v>
      </c>
      <c r="AV4">
        <v>1089</v>
      </c>
      <c r="AW4">
        <v>1156</v>
      </c>
      <c r="AX4">
        <v>1225</v>
      </c>
      <c r="AY4">
        <v>1296</v>
      </c>
      <c r="AZ4">
        <v>1369</v>
      </c>
      <c r="BA4">
        <v>1444</v>
      </c>
      <c r="BB4">
        <v>1521</v>
      </c>
      <c r="BC4">
        <v>1600</v>
      </c>
      <c r="BD4">
        <v>1681</v>
      </c>
      <c r="BE4">
        <v>1764</v>
      </c>
    </row>
    <row r="5" spans="1:57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I5">
        <f t="shared" si="2"/>
        <v>16</v>
      </c>
      <c r="K5" s="1">
        <f t="shared" si="3"/>
        <v>158457.06909341272</v>
      </c>
      <c r="L5" s="1"/>
      <c r="M5" s="1">
        <f t="shared" si="4"/>
        <v>9715258.2764390055</v>
      </c>
      <c r="N5" s="1"/>
    </row>
    <row r="6" spans="1:57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I6">
        <f t="shared" si="2"/>
        <v>25</v>
      </c>
      <c r="K6" s="1">
        <f t="shared" si="3"/>
        <v>158987.80318929412</v>
      </c>
      <c r="L6" s="1"/>
      <c r="M6" s="1">
        <f t="shared" si="4"/>
        <v>16530755.574074252</v>
      </c>
      <c r="N6" s="1"/>
      <c r="P6" s="3"/>
      <c r="T6" s="3"/>
    </row>
    <row r="7" spans="1:57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I7">
        <f t="shared" si="2"/>
        <v>36</v>
      </c>
      <c r="K7" s="1">
        <f t="shared" si="3"/>
        <v>159636.47819537143</v>
      </c>
      <c r="L7" s="1"/>
      <c r="M7" s="1">
        <f t="shared" si="4"/>
        <v>19470348.676322605</v>
      </c>
      <c r="N7" s="1"/>
      <c r="P7" cm="1">
        <f t="array" ref="P7:R9">MMULT(_xlfn.ANCHORARRAY(P2),G2:I43)</f>
        <v>42</v>
      </c>
      <c r="Q7">
        <v>903</v>
      </c>
      <c r="R7">
        <v>25585</v>
      </c>
      <c r="T7" cm="1">
        <f t="array" ref="T7:V9">MINVERSE(_xlfn.ANCHORARRAY(P7))</f>
        <v>0.23606271777003571</v>
      </c>
      <c r="U7">
        <v>-2.2212543554007105E-2</v>
      </c>
      <c r="V7">
        <v>4.355400696864144E-4</v>
      </c>
    </row>
    <row r="8" spans="1:57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I8">
        <f t="shared" si="2"/>
        <v>49</v>
      </c>
      <c r="K8" s="1">
        <f t="shared" si="3"/>
        <v>160403.09411164458</v>
      </c>
      <c r="L8" s="1"/>
      <c r="M8" s="1">
        <f t="shared" si="4"/>
        <v>1630969.3699972478</v>
      </c>
      <c r="N8" s="1"/>
      <c r="P8">
        <v>903</v>
      </c>
      <c r="Q8">
        <v>25585</v>
      </c>
      <c r="R8">
        <v>815409</v>
      </c>
      <c r="T8">
        <v>-2.2212543554007067E-2</v>
      </c>
      <c r="U8">
        <v>2.7159100117126345E-3</v>
      </c>
      <c r="V8">
        <v>-5.9391827684510923E-5</v>
      </c>
    </row>
    <row r="9" spans="1:57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I9">
        <f t="shared" si="2"/>
        <v>64</v>
      </c>
      <c r="K9" s="1">
        <f t="shared" si="3"/>
        <v>161287.65093811363</v>
      </c>
      <c r="L9" s="1"/>
      <c r="M9" s="1">
        <f t="shared" si="4"/>
        <v>24278768.777672514</v>
      </c>
      <c r="N9" s="1"/>
      <c r="P9">
        <v>25585</v>
      </c>
      <c r="Q9">
        <v>815409</v>
      </c>
      <c r="R9">
        <v>27718789</v>
      </c>
      <c r="T9">
        <v>4.3554006968641321E-4</v>
      </c>
      <c r="U9">
        <v>-5.9391827684510889E-5</v>
      </c>
      <c r="V9">
        <v>1.3812052949886252E-6</v>
      </c>
    </row>
    <row r="10" spans="1:57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I10">
        <f t="shared" si="2"/>
        <v>81</v>
      </c>
      <c r="K10" s="1">
        <f t="shared" si="3"/>
        <v>162290.14867477852</v>
      </c>
      <c r="L10" s="1"/>
      <c r="M10" s="1">
        <f t="shared" si="4"/>
        <v>758900.01356837829</v>
      </c>
      <c r="N10" s="1"/>
    </row>
    <row r="11" spans="1:57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I11">
        <f t="shared" si="2"/>
        <v>100</v>
      </c>
      <c r="K11" s="1">
        <f t="shared" si="3"/>
        <v>163410.58732163932</v>
      </c>
      <c r="L11" s="1"/>
      <c r="M11" s="1">
        <f t="shared" si="4"/>
        <v>60115408.160964087</v>
      </c>
      <c r="N11" s="1"/>
      <c r="P11" s="3"/>
      <c r="R11" s="3"/>
    </row>
    <row r="12" spans="1:57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I12">
        <f t="shared" si="2"/>
        <v>121</v>
      </c>
      <c r="K12" s="1">
        <f t="shared" si="3"/>
        <v>164648.96687869597</v>
      </c>
      <c r="L12" s="1"/>
      <c r="M12" s="1">
        <f t="shared" si="4"/>
        <v>2114212.3178491504</v>
      </c>
      <c r="N12" s="1"/>
      <c r="P12" cm="1">
        <f t="array" ref="P12:P14">MMULT(_xlfn.ANCHORARRAY(P2),E2:E43)</f>
        <v>8268684</v>
      </c>
      <c r="R12" cm="1">
        <f t="array" ref="R12:R14">MMULT(_xlfn.ANCHORARRAY(T7),_xlfn.ANCHORARRAY(P12))</f>
        <v>157513.54181184573</v>
      </c>
      <c r="S12" s="14"/>
    </row>
    <row r="13" spans="1:57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I13">
        <f t="shared" si="2"/>
        <v>144</v>
      </c>
      <c r="K13" s="1">
        <f t="shared" si="3"/>
        <v>166005.28734594851</v>
      </c>
      <c r="L13" s="1"/>
      <c r="M13" s="1">
        <f t="shared" si="4"/>
        <v>52456886.589157537</v>
      </c>
      <c r="N13" s="1"/>
      <c r="P13">
        <v>194409859</v>
      </c>
      <c r="R13">
        <v>159.86284631420858</v>
      </c>
    </row>
    <row r="14" spans="1:57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I14">
        <f t="shared" si="2"/>
        <v>169</v>
      </c>
      <c r="K14" s="1">
        <f t="shared" si="3"/>
        <v>167479.5487233969</v>
      </c>
      <c r="L14" s="1"/>
      <c r="M14" s="1">
        <f t="shared" si="4"/>
        <v>6638101.1807097262</v>
      </c>
      <c r="N14" s="1"/>
      <c r="P14">
        <v>5794927173</v>
      </c>
      <c r="R14">
        <v>58.970455097935883</v>
      </c>
    </row>
    <row r="15" spans="1:57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I15">
        <f t="shared" si="2"/>
        <v>196</v>
      </c>
      <c r="K15" s="1">
        <f t="shared" si="3"/>
        <v>169071.75101104117</v>
      </c>
      <c r="L15" s="1"/>
      <c r="M15" s="1">
        <f t="shared" si="4"/>
        <v>98729043.970585421</v>
      </c>
      <c r="N15" s="1"/>
    </row>
    <row r="16" spans="1:57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I16">
        <f t="shared" si="2"/>
        <v>225</v>
      </c>
      <c r="K16" s="1">
        <f t="shared" si="3"/>
        <v>170781.89420888131</v>
      </c>
      <c r="L16" s="1"/>
      <c r="M16" s="1">
        <f t="shared" si="4"/>
        <v>8237507.2522130674</v>
      </c>
      <c r="N16" s="1"/>
    </row>
    <row r="17" spans="1:27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I17">
        <f t="shared" si="2"/>
        <v>256</v>
      </c>
      <c r="K17" s="1">
        <f t="shared" si="3"/>
        <v>172609.97831691732</v>
      </c>
      <c r="L17" s="1"/>
      <c r="M17" s="1">
        <f t="shared" si="4"/>
        <v>67749717.947377279</v>
      </c>
      <c r="N17" s="1"/>
    </row>
    <row r="18" spans="1:27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I18">
        <f t="shared" si="2"/>
        <v>289</v>
      </c>
      <c r="K18" s="1">
        <f t="shared" si="3"/>
        <v>174556.0033351492</v>
      </c>
      <c r="L18" s="1"/>
      <c r="M18" s="1">
        <f t="shared" si="4"/>
        <v>17842147.824670665</v>
      </c>
      <c r="N18" s="1"/>
      <c r="P18" s="3"/>
      <c r="R18" s="3"/>
      <c r="U18" s="3"/>
    </row>
    <row r="19" spans="1:27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I19">
        <f t="shared" si="2"/>
        <v>324</v>
      </c>
      <c r="K19" s="1">
        <f t="shared" si="3"/>
        <v>176619.96926357696</v>
      </c>
      <c r="L19" s="1"/>
      <c r="M19" s="1">
        <f t="shared" si="4"/>
        <v>146773969.74447498</v>
      </c>
      <c r="N19" s="1"/>
      <c r="P19" s="1">
        <f>SUM(M2:M43)</f>
        <v>2172549899.1859531</v>
      </c>
      <c r="R19">
        <f>P19/(COUNT(K2:K43)-3)</f>
        <v>55706407.671434693</v>
      </c>
    </row>
    <row r="20" spans="1:27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I20">
        <f t="shared" si="2"/>
        <v>361</v>
      </c>
      <c r="K20" s="1">
        <f t="shared" si="3"/>
        <v>178801.87610220059</v>
      </c>
      <c r="L20" s="1"/>
      <c r="M20" s="1">
        <f t="shared" si="4"/>
        <v>13653940.620088283</v>
      </c>
      <c r="N20" s="1"/>
    </row>
    <row r="21" spans="1:27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I21">
        <f t="shared" si="2"/>
        <v>400</v>
      </c>
      <c r="K21" s="1">
        <f t="shared" si="3"/>
        <v>181101.7238510201</v>
      </c>
      <c r="L21" s="1"/>
      <c r="M21" s="1">
        <f t="shared" si="4"/>
        <v>70463872.065332845</v>
      </c>
      <c r="N21" s="1"/>
      <c r="P21" s="3"/>
    </row>
    <row r="22" spans="1:27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I22">
        <f t="shared" si="2"/>
        <v>441</v>
      </c>
      <c r="K22" s="1">
        <f t="shared" si="3"/>
        <v>183519.51251003545</v>
      </c>
      <c r="L22" s="1"/>
      <c r="M22" s="1">
        <f t="shared" si="4"/>
        <v>965330.8323761581</v>
      </c>
      <c r="N22" s="1"/>
    </row>
    <row r="23" spans="1:27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I23">
        <f t="shared" si="2"/>
        <v>484</v>
      </c>
      <c r="K23" s="1">
        <f t="shared" si="3"/>
        <v>186055.2420792467</v>
      </c>
      <c r="L23" s="1"/>
      <c r="M23" s="1">
        <f t="shared" si="4"/>
        <v>113619441.70398356</v>
      </c>
      <c r="N23" s="1"/>
    </row>
    <row r="24" spans="1:27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I24">
        <f t="shared" si="2"/>
        <v>529</v>
      </c>
      <c r="K24" s="1">
        <f t="shared" si="3"/>
        <v>188708.9125586538</v>
      </c>
      <c r="L24" s="1"/>
      <c r="M24" s="1">
        <f t="shared" si="4"/>
        <v>79101680.600979775</v>
      </c>
      <c r="N24" s="1"/>
      <c r="P24" s="13">
        <f>$R$19*T7</f>
        <v>13150205.99212444</v>
      </c>
      <c r="Q24" s="13">
        <f t="shared" ref="Q24:R24" si="5">$R$19*U7</f>
        <v>-1237381.0066390187</v>
      </c>
      <c r="R24" s="13">
        <f t="shared" si="5"/>
        <v>24262.372679196476</v>
      </c>
      <c r="S24" s="3"/>
      <c r="T24" s="3"/>
    </row>
    <row r="25" spans="1:27" x14ac:dyDescent="0.2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I25">
        <f t="shared" si="2"/>
        <v>576</v>
      </c>
      <c r="K25" s="1">
        <f t="shared" si="3"/>
        <v>191480.5239482568</v>
      </c>
      <c r="L25" s="1"/>
      <c r="M25" s="1">
        <f t="shared" si="4"/>
        <v>9483467.7478871476</v>
      </c>
      <c r="N25" s="1"/>
      <c r="P25" s="13">
        <f t="shared" ref="P25:P26" si="6">$R$19*T8</f>
        <v>-1237381.0066390166</v>
      </c>
      <c r="Q25" s="13">
        <f t="shared" ref="Q25:Q26" si="7">$R$19*U8</f>
        <v>151293.590311395</v>
      </c>
      <c r="R25" s="13">
        <f t="shared" ref="R25:R26" si="8">$R$19*V8</f>
        <v>-3308.5053653449668</v>
      </c>
    </row>
    <row r="26" spans="1:27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I26">
        <f t="shared" si="2"/>
        <v>625</v>
      </c>
      <c r="K26" s="1">
        <f t="shared" si="3"/>
        <v>194370.07624805567</v>
      </c>
      <c r="L26" s="1"/>
      <c r="M26" s="1">
        <f t="shared" si="4"/>
        <v>108786490.54025511</v>
      </c>
      <c r="N26" s="1"/>
      <c r="P26" s="13">
        <f t="shared" si="6"/>
        <v>24262.372679196411</v>
      </c>
      <c r="Q26" s="13">
        <f t="shared" si="7"/>
        <v>-3308.505365344965</v>
      </c>
      <c r="R26" s="13">
        <f t="shared" si="8"/>
        <v>76.941985240580578</v>
      </c>
    </row>
    <row r="27" spans="1:27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I27">
        <f t="shared" si="2"/>
        <v>676</v>
      </c>
      <c r="K27" s="1">
        <f t="shared" si="3"/>
        <v>197377.56945805039</v>
      </c>
      <c r="L27" s="1"/>
      <c r="M27" s="1">
        <f t="shared" si="4"/>
        <v>16446516.880577696</v>
      </c>
      <c r="N27" s="1"/>
    </row>
    <row r="28" spans="1:27" x14ac:dyDescent="0.2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I28">
        <f t="shared" si="2"/>
        <v>729</v>
      </c>
      <c r="K28" s="1">
        <f t="shared" si="3"/>
        <v>200503.00357824098</v>
      </c>
      <c r="L28" s="1"/>
      <c r="M28" s="1">
        <f t="shared" si="4"/>
        <v>2436732.1712811533</v>
      </c>
      <c r="N28" s="1"/>
      <c r="P28" s="3"/>
    </row>
    <row r="29" spans="1:27" ht="17" thickBot="1" x14ac:dyDescent="0.25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I29">
        <f t="shared" si="2"/>
        <v>784</v>
      </c>
      <c r="K29" s="1">
        <f t="shared" si="3"/>
        <v>203746.37860862748</v>
      </c>
      <c r="L29" s="1"/>
      <c r="M29" s="1">
        <f t="shared" si="4"/>
        <v>13458782.913236061</v>
      </c>
      <c r="N29" s="1"/>
    </row>
    <row r="30" spans="1:27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I30">
        <f t="shared" si="2"/>
        <v>841</v>
      </c>
      <c r="K30" s="1">
        <f t="shared" si="3"/>
        <v>207107.69454920982</v>
      </c>
      <c r="L30" s="1"/>
      <c r="M30" s="1">
        <f t="shared" si="4"/>
        <v>4436522.6520284377</v>
      </c>
      <c r="N30" s="1"/>
      <c r="U30" s="8"/>
      <c r="V30" s="9"/>
      <c r="W30" s="9"/>
      <c r="X30" s="9"/>
      <c r="Y30" s="10"/>
      <c r="AA30" s="13" t="s">
        <v>85</v>
      </c>
    </row>
    <row r="31" spans="1:27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I31">
        <f t="shared" si="2"/>
        <v>900</v>
      </c>
      <c r="K31" s="1">
        <f t="shared" si="3"/>
        <v>210586.95139998803</v>
      </c>
      <c r="L31" s="1"/>
      <c r="M31" s="1">
        <f t="shared" si="4"/>
        <v>185424012.57508796</v>
      </c>
      <c r="N31" s="1"/>
      <c r="P31">
        <f>SQRT(P24)</f>
        <v>3626.3212753594298</v>
      </c>
      <c r="Q31" t="e">
        <f t="shared" ref="Q31:R31" si="9">SQRT(Q24)</f>
        <v>#NUM!</v>
      </c>
      <c r="R31">
        <f t="shared" si="9"/>
        <v>155.76383623677376</v>
      </c>
      <c r="U31" s="6">
        <v>0</v>
      </c>
      <c r="V31">
        <f>R12</f>
        <v>157513.54181184573</v>
      </c>
      <c r="W31">
        <f>P31</f>
        <v>3626.3212753594298</v>
      </c>
      <c r="X31">
        <f>V31/W31</f>
        <v>43.43617949191043</v>
      </c>
      <c r="Y31" s="11">
        <f>_xlfn.T.DIST.2T(X31,COUNT($K$2:$K$43)-3)</f>
        <v>1.2137309563726046E-34</v>
      </c>
      <c r="AA31" s="16" t="s">
        <v>84</v>
      </c>
    </row>
    <row r="32" spans="1:27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I32">
        <f t="shared" si="2"/>
        <v>961</v>
      </c>
      <c r="K32" s="1">
        <f t="shared" si="3"/>
        <v>214184.14916096212</v>
      </c>
      <c r="L32" s="1"/>
      <c r="M32" s="1">
        <f t="shared" si="4"/>
        <v>60355043.359219648</v>
      </c>
      <c r="N32" s="1"/>
      <c r="P32" t="e">
        <f t="shared" ref="P32:R33" si="10">SQRT(P25)</f>
        <v>#NUM!</v>
      </c>
      <c r="Q32">
        <f t="shared" si="10"/>
        <v>388.96476744223889</v>
      </c>
      <c r="R32" t="e">
        <f t="shared" si="10"/>
        <v>#NUM!</v>
      </c>
      <c r="U32" s="6">
        <v>1</v>
      </c>
      <c r="V32">
        <f>R13</f>
        <v>159.86284631420858</v>
      </c>
      <c r="W32">
        <f>Q32</f>
        <v>388.96476744223889</v>
      </c>
      <c r="X32">
        <f>V32/W32</f>
        <v>0.41099569857043194</v>
      </c>
      <c r="Y32" s="19">
        <f>_xlfn.T.DIST.2T(X32,COUNT($K$2:$K$43)-3)</f>
        <v>0.68332534094149577</v>
      </c>
      <c r="AA32" s="20" t="s">
        <v>92</v>
      </c>
    </row>
    <row r="33" spans="1:27" ht="17" thickBot="1" x14ac:dyDescent="0.25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I33">
        <f t="shared" si="2"/>
        <v>1024</v>
      </c>
      <c r="K33" s="1">
        <f t="shared" si="3"/>
        <v>217899.28783213207</v>
      </c>
      <c r="L33" s="1"/>
      <c r="M33" s="1">
        <f t="shared" si="4"/>
        <v>222120636.38265446</v>
      </c>
      <c r="N33" s="1"/>
      <c r="P33">
        <f t="shared" si="10"/>
        <v>155.76383623677356</v>
      </c>
      <c r="Q33" t="e">
        <f t="shared" si="10"/>
        <v>#NUM!</v>
      </c>
      <c r="R33">
        <f t="shared" si="10"/>
        <v>8.7716580667842141</v>
      </c>
      <c r="U33" s="7">
        <v>2</v>
      </c>
      <c r="V33" s="5">
        <f>R14</f>
        <v>58.970455097935883</v>
      </c>
      <c r="W33" s="5">
        <f>R33</f>
        <v>8.7716580667842141</v>
      </c>
      <c r="X33" s="5">
        <f>V33/W33</f>
        <v>6.7228401573518131</v>
      </c>
      <c r="Y33" s="12">
        <f>_xlfn.T.DIST.2T(X33,COUNT($K$2:$K$43)-3)</f>
        <v>5.1583723136066137E-8</v>
      </c>
      <c r="AA33" s="16" t="s">
        <v>84</v>
      </c>
    </row>
    <row r="34" spans="1:27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I34">
        <f t="shared" si="2"/>
        <v>1089</v>
      </c>
      <c r="K34" s="1">
        <f t="shared" si="3"/>
        <v>221732.36741349791</v>
      </c>
      <c r="L34" s="1"/>
      <c r="M34" s="1">
        <f t="shared" si="4"/>
        <v>47992093.253565662</v>
      </c>
      <c r="N34" s="1"/>
    </row>
    <row r="35" spans="1:27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I35">
        <f t="shared" si="2"/>
        <v>1156</v>
      </c>
      <c r="K35" s="1">
        <f t="shared" si="3"/>
        <v>225683.38790505962</v>
      </c>
      <c r="L35" s="1"/>
      <c r="M35" s="1">
        <f t="shared" si="4"/>
        <v>199730724.62605524</v>
      </c>
      <c r="N35" s="1"/>
    </row>
    <row r="36" spans="1:27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I36">
        <f t="shared" si="2"/>
        <v>1225</v>
      </c>
      <c r="K36" s="1">
        <f t="shared" si="3"/>
        <v>229752.34930681717</v>
      </c>
      <c r="L36" s="1"/>
      <c r="M36" s="1">
        <f t="shared" si="4"/>
        <v>11086573.738612924</v>
      </c>
      <c r="N36" s="1"/>
    </row>
    <row r="37" spans="1:27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I37">
        <f t="shared" si="2"/>
        <v>1296</v>
      </c>
      <c r="K37" s="1">
        <f t="shared" si="3"/>
        <v>233939.25161877065</v>
      </c>
      <c r="L37" s="1"/>
      <c r="M37" s="1">
        <f t="shared" si="4"/>
        <v>86559733.941227764</v>
      </c>
      <c r="N37" s="1"/>
      <c r="V37" t="s">
        <v>83</v>
      </c>
    </row>
    <row r="38" spans="1:27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I38">
        <f t="shared" si="2"/>
        <v>1369</v>
      </c>
      <c r="K38" s="1">
        <f t="shared" si="3"/>
        <v>238244.09484091995</v>
      </c>
      <c r="L38" s="1"/>
      <c r="M38" s="1">
        <f t="shared" si="4"/>
        <v>13089237.740098055</v>
      </c>
      <c r="N38" s="1"/>
      <c r="Z38" t="s">
        <v>93</v>
      </c>
    </row>
    <row r="39" spans="1:27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I39">
        <f t="shared" si="2"/>
        <v>1444</v>
      </c>
      <c r="K39" s="1">
        <f t="shared" si="3"/>
        <v>242666.87897326515</v>
      </c>
      <c r="L39" s="1"/>
      <c r="M39" s="1">
        <f t="shared" si="4"/>
        <v>171351268.49456584</v>
      </c>
      <c r="N39" s="1"/>
    </row>
    <row r="40" spans="1:27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I40">
        <f t="shared" si="2"/>
        <v>1521</v>
      </c>
      <c r="K40" s="1">
        <f t="shared" si="3"/>
        <v>247207.60401580622</v>
      </c>
      <c r="L40" s="1"/>
      <c r="M40" s="1">
        <f t="shared" si="4"/>
        <v>2009011.3760086424</v>
      </c>
      <c r="N40" s="1"/>
      <c r="V40" t="s">
        <v>96</v>
      </c>
    </row>
    <row r="41" spans="1:27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I41">
        <f t="shared" si="2"/>
        <v>1600</v>
      </c>
      <c r="K41" s="1">
        <f t="shared" si="3"/>
        <v>251866.26996854314</v>
      </c>
      <c r="L41" s="1"/>
      <c r="M41" s="1">
        <f t="shared" si="4"/>
        <v>85151001.533450752</v>
      </c>
      <c r="N41" s="1"/>
      <c r="Y41" s="1">
        <f>V32+2*V33*AVERAGE(C2:C43)</f>
        <v>2695.5924155254515</v>
      </c>
    </row>
    <row r="42" spans="1:27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I42">
        <f t="shared" si="2"/>
        <v>1681</v>
      </c>
      <c r="K42" s="1">
        <f t="shared" si="3"/>
        <v>256642.87683147594</v>
      </c>
      <c r="L42" s="1"/>
      <c r="M42" s="1">
        <f t="shared" si="4"/>
        <v>5797870.8355585951</v>
      </c>
      <c r="N42" s="1"/>
      <c r="Y42" t="s">
        <v>87</v>
      </c>
    </row>
    <row r="43" spans="1:27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I43">
        <f t="shared" si="2"/>
        <v>1764</v>
      </c>
      <c r="K43" s="1">
        <f t="shared" si="3"/>
        <v>261537.42460460463</v>
      </c>
      <c r="L43" s="1"/>
      <c r="M43" s="1">
        <f t="shared" si="4"/>
        <v>60568479.78501337</v>
      </c>
    </row>
    <row r="44" spans="1:27" x14ac:dyDescent="0.2">
      <c r="V44" t="s">
        <v>86</v>
      </c>
    </row>
    <row r="45" spans="1:27" x14ac:dyDescent="0.2">
      <c r="Y45" s="15">
        <f>Y41/AVERAGE(K2:K43)</f>
        <v>1.3935292069135258E-2</v>
      </c>
    </row>
    <row r="46" spans="1:27" x14ac:dyDescent="0.2">
      <c r="Y46" t="s">
        <v>100</v>
      </c>
    </row>
    <row r="48" spans="1:27" x14ac:dyDescent="0.2">
      <c r="V48" t="s">
        <v>91</v>
      </c>
    </row>
    <row r="49" spans="25:25" x14ac:dyDescent="0.2">
      <c r="Y49">
        <f>_xlfn.VAR.S(K2:K43)</f>
        <v>1029111900.148759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50600-DD3F-2849-BAEF-ADFAE87C1AEB}">
  <dimension ref="A1:L43"/>
  <sheetViews>
    <sheetView workbookViewId="0">
      <selection activeCell="S7" sqref="S7"/>
    </sheetView>
  </sheetViews>
  <sheetFormatPr baseColWidth="10" defaultRowHeight="16" x14ac:dyDescent="0.2"/>
  <sheetData>
    <row r="1" spans="1:12" x14ac:dyDescent="0.2">
      <c r="A1" s="3" t="s">
        <v>81</v>
      </c>
      <c r="B1" s="3"/>
      <c r="C1" s="3" t="s">
        <v>82</v>
      </c>
      <c r="E1" t="s">
        <v>108</v>
      </c>
      <c r="G1" t="s">
        <v>109</v>
      </c>
      <c r="I1" t="s">
        <v>110</v>
      </c>
      <c r="L1" s="2">
        <f>COUNT(E2:E43)*0.25</f>
        <v>10.5</v>
      </c>
    </row>
    <row r="2" spans="1:12" x14ac:dyDescent="0.2">
      <c r="A2">
        <v>150816</v>
      </c>
      <c r="C2">
        <v>1</v>
      </c>
      <c r="E2">
        <f>A2</f>
        <v>150816</v>
      </c>
      <c r="G2">
        <f>$L$4/(1+$L$5*EXP(-$L$6*C2))</f>
        <v>170242.9562692625</v>
      </c>
      <c r="I2">
        <f>(G2-A2)^2</f>
        <v>377406629.88783771</v>
      </c>
      <c r="L2" s="2">
        <f>COUNT(E2:E43)*0.75</f>
        <v>31.5</v>
      </c>
    </row>
    <row r="3" spans="1:12" x14ac:dyDescent="0.2">
      <c r="A3">
        <v>159663</v>
      </c>
      <c r="C3">
        <v>2</v>
      </c>
      <c r="E3">
        <f t="shared" ref="E3:E43" si="0">A3</f>
        <v>159663</v>
      </c>
      <c r="G3">
        <f t="shared" ref="G3:G43" si="1">$L$4/(1+$L$5*EXP(-$L$6*C3))</f>
        <v>174311.8401549228</v>
      </c>
      <c r="I3">
        <f t="shared" ref="I3:I43" si="2">(G3-A3)^2</f>
        <v>214588517.88447866</v>
      </c>
    </row>
    <row r="4" spans="1:12" x14ac:dyDescent="0.2">
      <c r="A4">
        <v>155573</v>
      </c>
      <c r="C4">
        <v>3</v>
      </c>
      <c r="E4">
        <f t="shared" si="0"/>
        <v>155573</v>
      </c>
      <c r="G4">
        <f t="shared" si="1"/>
        <v>178302.96056283545</v>
      </c>
      <c r="I4">
        <f t="shared" si="2"/>
        <v>516651107.18805474</v>
      </c>
      <c r="L4">
        <f>MAX(E2:E43)</f>
        <v>269320</v>
      </c>
    </row>
    <row r="5" spans="1:12" x14ac:dyDescent="0.2">
      <c r="A5">
        <v>161574</v>
      </c>
      <c r="C5">
        <v>4</v>
      </c>
      <c r="E5">
        <f t="shared" si="0"/>
        <v>161574</v>
      </c>
      <c r="G5">
        <f t="shared" si="1"/>
        <v>182210.20674089607</v>
      </c>
      <c r="I5">
        <f t="shared" si="2"/>
        <v>425853028.65300447</v>
      </c>
      <c r="L5">
        <f>(L4-E12)/E12</f>
        <v>0.62140358693100062</v>
      </c>
    </row>
    <row r="6" spans="1:12" x14ac:dyDescent="0.2">
      <c r="A6">
        <v>154922</v>
      </c>
      <c r="C6">
        <v>5</v>
      </c>
      <c r="E6">
        <f t="shared" si="0"/>
        <v>154922</v>
      </c>
      <c r="G6">
        <f t="shared" si="1"/>
        <v>186028.07415616905</v>
      </c>
      <c r="I6">
        <f t="shared" si="2"/>
        <v>967587849.40908825</v>
      </c>
      <c r="L6">
        <f>ABS( ((1)/(C33-C12)) * LN( ((L4-E33)/(E33)) / ((L4-E12)/(E12)) ) )</f>
        <v>6.5554294623188833E-2</v>
      </c>
    </row>
    <row r="7" spans="1:12" x14ac:dyDescent="0.2">
      <c r="A7">
        <v>164049</v>
      </c>
      <c r="C7">
        <v>6</v>
      </c>
      <c r="E7">
        <f t="shared" si="0"/>
        <v>164049</v>
      </c>
      <c r="G7">
        <f t="shared" si="1"/>
        <v>189751.68174520897</v>
      </c>
      <c r="I7">
        <f t="shared" si="2"/>
        <v>660627848.89549863</v>
      </c>
    </row>
    <row r="8" spans="1:12" x14ac:dyDescent="0.2">
      <c r="A8">
        <v>159126</v>
      </c>
      <c r="C8">
        <v>7</v>
      </c>
      <c r="E8">
        <f t="shared" si="0"/>
        <v>159126</v>
      </c>
      <c r="G8">
        <f t="shared" si="1"/>
        <v>193376.78076892253</v>
      </c>
      <c r="I8">
        <f t="shared" si="2"/>
        <v>1173115983.2807934</v>
      </c>
    </row>
    <row r="9" spans="1:12" x14ac:dyDescent="0.2">
      <c r="A9">
        <v>166215</v>
      </c>
      <c r="C9">
        <v>8</v>
      </c>
      <c r="E9">
        <f t="shared" si="0"/>
        <v>166215</v>
      </c>
      <c r="G9">
        <f t="shared" si="1"/>
        <v>196899.75567265012</v>
      </c>
      <c r="I9">
        <f t="shared" si="2"/>
        <v>941554230.69023371</v>
      </c>
    </row>
    <row r="10" spans="1:12" x14ac:dyDescent="0.2">
      <c r="A10">
        <v>161419</v>
      </c>
      <c r="C10">
        <v>9</v>
      </c>
      <c r="E10">
        <f t="shared" si="0"/>
        <v>161419</v>
      </c>
      <c r="G10">
        <f t="shared" si="1"/>
        <v>200317.61749622138</v>
      </c>
      <c r="I10">
        <f t="shared" si="2"/>
        <v>1513102443.1173403</v>
      </c>
    </row>
    <row r="11" spans="1:12" x14ac:dyDescent="0.2">
      <c r="A11">
        <v>171164</v>
      </c>
      <c r="C11">
        <v>10</v>
      </c>
      <c r="E11">
        <f t="shared" si="0"/>
        <v>171164</v>
      </c>
      <c r="G11">
        <f t="shared" si="1"/>
        <v>203627.99049493615</v>
      </c>
      <c r="I11">
        <f t="shared" si="2"/>
        <v>1053910678.8553048</v>
      </c>
    </row>
    <row r="12" spans="1:12" x14ac:dyDescent="0.2">
      <c r="A12">
        <v>166103</v>
      </c>
      <c r="C12" s="22">
        <v>11</v>
      </c>
      <c r="E12" s="22">
        <f t="shared" si="0"/>
        <v>166103</v>
      </c>
      <c r="G12">
        <f t="shared" si="1"/>
        <v>206829.09271958427</v>
      </c>
      <c r="I12">
        <f t="shared" si="2"/>
        <v>1658614628.2041745</v>
      </c>
    </row>
    <row r="13" spans="1:12" x14ac:dyDescent="0.2">
      <c r="A13">
        <v>173248</v>
      </c>
      <c r="C13">
        <v>12</v>
      </c>
      <c r="E13">
        <f t="shared" si="0"/>
        <v>173248</v>
      </c>
      <c r="G13">
        <f t="shared" si="1"/>
        <v>209919.71136190384</v>
      </c>
      <c r="I13">
        <f t="shared" si="2"/>
        <v>1344814414.2107873</v>
      </c>
    </row>
    <row r="14" spans="1:12" x14ac:dyDescent="0.2">
      <c r="A14">
        <v>170056</v>
      </c>
      <c r="C14">
        <v>13</v>
      </c>
      <c r="E14">
        <f t="shared" si="0"/>
        <v>170056</v>
      </c>
      <c r="G14">
        <f t="shared" si="1"/>
        <v>212899.17370260382</v>
      </c>
      <c r="I14">
        <f t="shared" si="2"/>
        <v>1835537532.9114833</v>
      </c>
    </row>
    <row r="15" spans="1:12" x14ac:dyDescent="0.2">
      <c r="A15">
        <v>179008</v>
      </c>
      <c r="C15">
        <v>14</v>
      </c>
      <c r="E15">
        <f t="shared" si="0"/>
        <v>179008</v>
      </c>
      <c r="G15">
        <f t="shared" si="1"/>
        <v>215767.31450450409</v>
      </c>
      <c r="I15">
        <f t="shared" si="2"/>
        <v>1351247202.8410447</v>
      </c>
    </row>
    <row r="16" spans="1:12" x14ac:dyDescent="0.2">
      <c r="A16">
        <v>173652</v>
      </c>
      <c r="C16">
        <v>15</v>
      </c>
      <c r="E16">
        <f t="shared" si="0"/>
        <v>173652</v>
      </c>
      <c r="G16">
        <f t="shared" si="1"/>
        <v>218524.44067641901</v>
      </c>
      <c r="I16">
        <f t="shared" si="2"/>
        <v>2013535932.258743</v>
      </c>
    </row>
    <row r="17" spans="1:9" x14ac:dyDescent="0.2">
      <c r="A17">
        <v>180841</v>
      </c>
      <c r="C17">
        <v>16</v>
      </c>
      <c r="E17">
        <f t="shared" si="0"/>
        <v>180841</v>
      </c>
      <c r="G17">
        <f t="shared" si="1"/>
        <v>221171.29399754983</v>
      </c>
      <c r="I17">
        <f t="shared" si="2"/>
        <v>1626532613.9288039</v>
      </c>
    </row>
    <row r="18" spans="1:9" x14ac:dyDescent="0.2">
      <c r="A18">
        <v>178780</v>
      </c>
      <c r="C18">
        <v>17</v>
      </c>
      <c r="E18">
        <f t="shared" si="0"/>
        <v>178780</v>
      </c>
      <c r="G18">
        <f t="shared" si="1"/>
        <v>223709.01264099989</v>
      </c>
      <c r="I18">
        <f t="shared" si="2"/>
        <v>2018616176.895128</v>
      </c>
    </row>
    <row r="19" spans="1:9" x14ac:dyDescent="0.2">
      <c r="A19">
        <v>188735</v>
      </c>
      <c r="C19">
        <v>18</v>
      </c>
      <c r="E19">
        <f t="shared" si="0"/>
        <v>188735</v>
      </c>
      <c r="G19">
        <f t="shared" si="1"/>
        <v>226139.09217226517</v>
      </c>
      <c r="I19">
        <f t="shared" si="2"/>
        <v>1399066111.2313085</v>
      </c>
    </row>
    <row r="20" spans="1:9" x14ac:dyDescent="0.2">
      <c r="A20">
        <v>182497</v>
      </c>
      <c r="C20">
        <v>19</v>
      </c>
      <c r="E20">
        <f t="shared" si="0"/>
        <v>182497</v>
      </c>
      <c r="G20">
        <f t="shared" si="1"/>
        <v>228463.34662772706</v>
      </c>
      <c r="I20">
        <f t="shared" si="2"/>
        <v>2112905022.3003552</v>
      </c>
    </row>
    <row r="21" spans="1:9" x14ac:dyDescent="0.2">
      <c r="A21">
        <v>189496</v>
      </c>
      <c r="C21">
        <v>20</v>
      </c>
      <c r="E21">
        <f t="shared" si="0"/>
        <v>189496</v>
      </c>
      <c r="G21">
        <f t="shared" si="1"/>
        <v>230683.87020256181</v>
      </c>
      <c r="I21">
        <f t="shared" si="2"/>
        <v>1696440651.8230791</v>
      </c>
    </row>
    <row r="22" spans="1:9" x14ac:dyDescent="0.2">
      <c r="A22">
        <v>182537</v>
      </c>
      <c r="C22">
        <v>21</v>
      </c>
      <c r="E22">
        <f t="shared" si="0"/>
        <v>182537</v>
      </c>
      <c r="G22">
        <f t="shared" si="1"/>
        <v>232803</v>
      </c>
      <c r="I22">
        <f t="shared" si="2"/>
        <v>2526670756</v>
      </c>
    </row>
    <row r="23" spans="1:9" x14ac:dyDescent="0.2">
      <c r="A23">
        <v>175396</v>
      </c>
      <c r="C23">
        <v>22</v>
      </c>
      <c r="E23">
        <f t="shared" si="0"/>
        <v>175396</v>
      </c>
      <c r="G23">
        <f t="shared" si="1"/>
        <v>234823.28021702197</v>
      </c>
      <c r="I23">
        <f t="shared" si="2"/>
        <v>3531601633.9924502</v>
      </c>
    </row>
    <row r="24" spans="1:9" x14ac:dyDescent="0.2">
      <c r="A24">
        <v>179815</v>
      </c>
      <c r="C24">
        <v>23</v>
      </c>
      <c r="E24">
        <f t="shared" si="0"/>
        <v>179815</v>
      </c>
      <c r="G24">
        <f t="shared" si="1"/>
        <v>236747.42806740856</v>
      </c>
      <c r="I24">
        <f t="shared" si="2"/>
        <v>3241301365.65065</v>
      </c>
    </row>
    <row r="25" spans="1:9" x14ac:dyDescent="0.2">
      <c r="A25">
        <v>188401</v>
      </c>
      <c r="C25">
        <v>24</v>
      </c>
      <c r="E25">
        <f t="shared" si="0"/>
        <v>188401</v>
      </c>
      <c r="G25">
        <f t="shared" si="1"/>
        <v>238578.30167320042</v>
      </c>
      <c r="I25">
        <f t="shared" si="2"/>
        <v>2517761603.2033615</v>
      </c>
    </row>
    <row r="26" spans="1:9" x14ac:dyDescent="0.2">
      <c r="A26">
        <v>183940</v>
      </c>
      <c r="C26">
        <v>25</v>
      </c>
      <c r="E26">
        <f t="shared" si="0"/>
        <v>183940</v>
      </c>
      <c r="G26">
        <f t="shared" si="1"/>
        <v>240318.87009122278</v>
      </c>
      <c r="I26">
        <f t="shared" si="2"/>
        <v>3178576992.7629743</v>
      </c>
    </row>
    <row r="27" spans="1:9" x14ac:dyDescent="0.2">
      <c r="A27">
        <v>201433</v>
      </c>
      <c r="C27">
        <v>26</v>
      </c>
      <c r="E27">
        <f t="shared" si="0"/>
        <v>201433</v>
      </c>
      <c r="G27">
        <f t="shared" si="1"/>
        <v>241972.18558321311</v>
      </c>
      <c r="I27">
        <f t="shared" si="2"/>
        <v>1643425567.7501938</v>
      </c>
    </row>
    <row r="28" spans="1:9" x14ac:dyDescent="0.2">
      <c r="A28">
        <v>198942</v>
      </c>
      <c r="C28">
        <v>27</v>
      </c>
      <c r="E28">
        <f t="shared" si="0"/>
        <v>198942</v>
      </c>
      <c r="G28">
        <f t="shared" si="1"/>
        <v>243541.35818668711</v>
      </c>
      <c r="I28">
        <f t="shared" si="2"/>
        <v>1989102750.6644146</v>
      </c>
    </row>
    <row r="29" spans="1:9" x14ac:dyDescent="0.2">
      <c r="A29">
        <v>207415</v>
      </c>
      <c r="C29">
        <v>28</v>
      </c>
      <c r="E29">
        <f t="shared" si="0"/>
        <v>207415</v>
      </c>
      <c r="G29">
        <f t="shared" si="1"/>
        <v>245029.53259915416</v>
      </c>
      <c r="I29">
        <f t="shared" si="2"/>
        <v>1414853062.6528311</v>
      </c>
    </row>
    <row r="30" spans="1:9" x14ac:dyDescent="0.2">
      <c r="A30">
        <v>209214</v>
      </c>
      <c r="C30">
        <v>29</v>
      </c>
      <c r="E30">
        <f t="shared" si="0"/>
        <v>209214</v>
      </c>
      <c r="G30">
        <f t="shared" si="1"/>
        <v>246439.86735057316</v>
      </c>
      <c r="I30">
        <f t="shared" si="2"/>
        <v>1385765200.0024686</v>
      </c>
    </row>
    <row r="31" spans="1:9" x14ac:dyDescent="0.2">
      <c r="A31">
        <v>224204</v>
      </c>
      <c r="C31">
        <v>30</v>
      </c>
      <c r="E31">
        <f t="shared" si="0"/>
        <v>224204</v>
      </c>
      <c r="G31">
        <f t="shared" si="1"/>
        <v>247775.51620773852</v>
      </c>
      <c r="I31">
        <f t="shared" si="2"/>
        <v>555616376.33167958</v>
      </c>
    </row>
    <row r="32" spans="1:9" x14ac:dyDescent="0.2">
      <c r="A32">
        <v>221953</v>
      </c>
      <c r="C32">
        <v>31</v>
      </c>
      <c r="E32">
        <f t="shared" si="0"/>
        <v>221953</v>
      </c>
      <c r="G32">
        <f t="shared" si="1"/>
        <v>249039.61172921862</v>
      </c>
      <c r="I32">
        <f t="shared" si="2"/>
        <v>733684534.96944392</v>
      </c>
    </row>
    <row r="33" spans="1:9" x14ac:dyDescent="0.2">
      <c r="A33">
        <v>232803</v>
      </c>
      <c r="C33" s="22">
        <v>32</v>
      </c>
      <c r="E33" s="22">
        <f t="shared" si="0"/>
        <v>232803</v>
      </c>
      <c r="G33">
        <f t="shared" si="1"/>
        <v>250235.25087000392</v>
      </c>
      <c r="I33">
        <f t="shared" si="2"/>
        <v>303883370.39475238</v>
      </c>
    </row>
    <row r="34" spans="1:9" x14ac:dyDescent="0.2">
      <c r="A34">
        <v>228660</v>
      </c>
      <c r="C34">
        <v>33</v>
      </c>
      <c r="E34">
        <f t="shared" si="0"/>
        <v>228660</v>
      </c>
      <c r="G34">
        <f t="shared" si="1"/>
        <v>251365.48252062281</v>
      </c>
      <c r="I34">
        <f t="shared" si="2"/>
        <v>515538936.49430805</v>
      </c>
    </row>
    <row r="35" spans="1:9" x14ac:dyDescent="0.2">
      <c r="A35">
        <v>239816</v>
      </c>
      <c r="C35">
        <v>34</v>
      </c>
      <c r="E35">
        <f t="shared" si="0"/>
        <v>239816</v>
      </c>
      <c r="G35">
        <f t="shared" si="1"/>
        <v>252433.29685553469</v>
      </c>
      <c r="I35">
        <f t="shared" si="2"/>
        <v>159196179.94068554</v>
      </c>
    </row>
    <row r="36" spans="1:9" x14ac:dyDescent="0.2">
      <c r="A36">
        <v>233082</v>
      </c>
      <c r="C36">
        <v>35</v>
      </c>
      <c r="E36">
        <f t="shared" si="0"/>
        <v>233082</v>
      </c>
      <c r="G36">
        <f t="shared" si="1"/>
        <v>253441.61635953127</v>
      </c>
      <c r="I36">
        <f t="shared" si="2"/>
        <v>414513978.30729324</v>
      </c>
    </row>
    <row r="37" spans="1:9" x14ac:dyDescent="0.2">
      <c r="A37">
        <v>243243</v>
      </c>
      <c r="C37">
        <v>36</v>
      </c>
      <c r="E37">
        <f t="shared" si="0"/>
        <v>243243</v>
      </c>
      <c r="G37">
        <f t="shared" si="1"/>
        <v>254393.28839808679</v>
      </c>
      <c r="I37">
        <f t="shared" si="2"/>
        <v>124328931.36050892</v>
      </c>
    </row>
    <row r="38" spans="1:9" x14ac:dyDescent="0.2">
      <c r="A38">
        <v>241862</v>
      </c>
      <c r="C38">
        <v>37</v>
      </c>
      <c r="E38">
        <f t="shared" si="0"/>
        <v>241862</v>
      </c>
      <c r="G38">
        <f t="shared" si="1"/>
        <v>255291.07919754382</v>
      </c>
      <c r="I38">
        <f t="shared" si="2"/>
        <v>180340168.09390414</v>
      </c>
    </row>
    <row r="39" spans="1:9" x14ac:dyDescent="0.2">
      <c r="A39">
        <v>255757</v>
      </c>
      <c r="C39">
        <v>38</v>
      </c>
      <c r="E39">
        <f t="shared" si="0"/>
        <v>255757</v>
      </c>
      <c r="G39">
        <f t="shared" si="1"/>
        <v>256137.66910320439</v>
      </c>
      <c r="I39">
        <f t="shared" si="2"/>
        <v>144908.96613443384</v>
      </c>
    </row>
    <row r="40" spans="1:9" x14ac:dyDescent="0.2">
      <c r="A40">
        <v>248625</v>
      </c>
      <c r="C40">
        <v>39</v>
      </c>
      <c r="E40">
        <f t="shared" si="0"/>
        <v>248625</v>
      </c>
      <c r="G40">
        <f t="shared" si="1"/>
        <v>256935.64898735058</v>
      </c>
      <c r="I40">
        <f t="shared" si="2"/>
        <v>69066886.590951189</v>
      </c>
    </row>
    <row r="41" spans="1:9" x14ac:dyDescent="0.2">
      <c r="A41">
        <v>261094</v>
      </c>
      <c r="C41">
        <v>40</v>
      </c>
      <c r="E41">
        <f t="shared" si="0"/>
        <v>261094</v>
      </c>
      <c r="G41">
        <f t="shared" si="1"/>
        <v>257687.5176845371</v>
      </c>
      <c r="I41">
        <f t="shared" si="2"/>
        <v>11604121.765561463</v>
      </c>
    </row>
    <row r="42" spans="1:9" x14ac:dyDescent="0.2">
      <c r="A42">
        <v>254235</v>
      </c>
      <c r="C42">
        <v>41</v>
      </c>
      <c r="E42">
        <f t="shared" si="0"/>
        <v>254235</v>
      </c>
      <c r="G42">
        <f t="shared" si="1"/>
        <v>258395.68033782439</v>
      </c>
      <c r="I42">
        <f t="shared" si="2"/>
        <v>17311260.873558506</v>
      </c>
    </row>
    <row r="43" spans="1:9" x14ac:dyDescent="0.2">
      <c r="A43">
        <v>269320</v>
      </c>
      <c r="C43">
        <v>42</v>
      </c>
      <c r="E43">
        <f t="shared" si="0"/>
        <v>269320</v>
      </c>
      <c r="G43">
        <f t="shared" si="1"/>
        <v>259062.44754664085</v>
      </c>
      <c r="I43">
        <f t="shared" si="2"/>
        <v>105217382.33341436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0F54-917E-FB46-99CB-38225D239F77}">
  <dimension ref="A1:L43"/>
  <sheetViews>
    <sheetView workbookViewId="0">
      <selection activeCell="K25" sqref="K25"/>
    </sheetView>
  </sheetViews>
  <sheetFormatPr baseColWidth="10" defaultRowHeight="16" x14ac:dyDescent="0.2"/>
  <cols>
    <col min="1" max="1" width="5" bestFit="1" customWidth="1"/>
    <col min="2" max="3" width="19" bestFit="1" customWidth="1"/>
    <col min="4" max="4" width="23.5" bestFit="1" customWidth="1"/>
    <col min="5" max="5" width="22.1640625" bestFit="1" customWidth="1"/>
    <col min="6" max="6" width="20.5" bestFit="1" customWidth="1"/>
    <col min="8" max="8" width="23.5" bestFit="1" customWidth="1"/>
    <col min="9" max="9" width="12.1640625" bestFit="1" customWidth="1"/>
    <col min="10" max="10" width="10.1640625" bestFit="1" customWidth="1"/>
  </cols>
  <sheetData>
    <row r="1" spans="1:12" x14ac:dyDescent="0.2">
      <c r="A1" s="3" t="s">
        <v>105</v>
      </c>
      <c r="B1" s="3" t="s">
        <v>106</v>
      </c>
      <c r="C1" s="3" t="s">
        <v>101</v>
      </c>
      <c r="D1" s="3" t="s">
        <v>102</v>
      </c>
      <c r="E1" s="3" t="s">
        <v>103</v>
      </c>
      <c r="F1" s="3" t="s">
        <v>104</v>
      </c>
      <c r="I1" s="3" t="s">
        <v>107</v>
      </c>
    </row>
    <row r="2" spans="1:12" x14ac:dyDescent="0.2">
      <c r="A2" s="21">
        <v>1</v>
      </c>
      <c r="B2" s="1">
        <f>('03 Linear Trend'!J2-'03 Linear Trend'!A2)^2</f>
        <v>84680778.332348824</v>
      </c>
      <c r="C2" s="1">
        <f>('03 Power Trend'!J2-'03 Power Trend'!A2)^2</f>
        <v>758042984.23807049</v>
      </c>
      <c r="D2" s="1">
        <f>('03 Exponential Trend'!J2-'03 Exponential Trend'!A2)^2</f>
        <v>12033837.398146192</v>
      </c>
      <c r="E2" s="1">
        <f>('04 Quadratic Trend'!K2-'04 Quadratic Trend'!A2)^2</f>
        <v>45650458.013360262</v>
      </c>
      <c r="F2">
        <f>('04 Logistic Trend'!G2-'04 Logistic Trend'!A2)^2</f>
        <v>377406629.88783771</v>
      </c>
      <c r="H2" s="3" t="s">
        <v>106</v>
      </c>
      <c r="I2">
        <f>_xlfn.VAR.S(B2:B43)</f>
        <v>1.8057538069131792E+16</v>
      </c>
      <c r="J2" s="15">
        <f>I2/MIN($I$2:$I$6)</f>
        <v>4.9970990845114338</v>
      </c>
    </row>
    <row r="3" spans="1:12" x14ac:dyDescent="0.2">
      <c r="A3" s="21">
        <v>2</v>
      </c>
      <c r="B3" s="1">
        <f>('03 Linear Trend'!J3-'03 Linear Trend'!A3)^2</f>
        <v>235733755.54145545</v>
      </c>
      <c r="C3" s="1">
        <f>('03 Power Trend'!J3-'03 Power Trend'!A3)^2</f>
        <v>473007151.50899082</v>
      </c>
      <c r="D3" s="1">
        <f>('03 Exponential Trend'!J3-'03 Exponential Trend'!A3)^2</f>
        <v>106570636.39494142</v>
      </c>
      <c r="E3" s="1">
        <f>('04 Quadratic Trend'!K3-'04 Quadratic Trend'!A3)^2</f>
        <v>3661774.5152592063</v>
      </c>
      <c r="F3">
        <f>('04 Logistic Trend'!G3-'04 Logistic Trend'!A3)^2</f>
        <v>214588517.88447866</v>
      </c>
      <c r="H3" s="3" t="s">
        <v>101</v>
      </c>
      <c r="I3">
        <f>_xlfn.VAR.S(C2:C43)</f>
        <v>1.599692135465385E+17</v>
      </c>
      <c r="J3" s="15">
        <f t="shared" ref="J3:J6" si="0">I3/MIN($I$2:$I$6)</f>
        <v>44.268604474378158</v>
      </c>
    </row>
    <row r="4" spans="1:12" x14ac:dyDescent="0.2">
      <c r="A4" s="21">
        <v>3</v>
      </c>
      <c r="B4" s="1">
        <f>('03 Linear Trend'!J4-'03 Linear Trend'!A4)^2</f>
        <v>73411157.201196745</v>
      </c>
      <c r="C4" s="1">
        <f>('03 Power Trend'!J4-'03 Power Trend'!A4)^2</f>
        <v>69022860.461649582</v>
      </c>
      <c r="D4" s="1">
        <f>('03 Exponential Trend'!J4-'03 Exponential Trend'!A4)^2</f>
        <v>17755102.942746092</v>
      </c>
      <c r="E4" s="1">
        <f>('04 Quadratic Trend'!K4-'04 Quadratic Trend'!A4)^2</f>
        <v>6107204.6121127093</v>
      </c>
      <c r="F4">
        <f>('04 Logistic Trend'!G4-'04 Logistic Trend'!A4)^2</f>
        <v>516651107.18805474</v>
      </c>
      <c r="H4" s="3" t="s">
        <v>102</v>
      </c>
      <c r="I4">
        <f>_xlfn.VAR.S(D2:D43)</f>
        <v>1.0002610823865944E+16</v>
      </c>
      <c r="J4" s="15">
        <f t="shared" si="0"/>
        <v>2.7680427530765774</v>
      </c>
    </row>
    <row r="5" spans="1:12" x14ac:dyDescent="0.2">
      <c r="A5" s="21">
        <v>4</v>
      </c>
      <c r="B5" s="1">
        <f>('03 Linear Trend'!J5-'03 Linear Trend'!A5)^2</f>
        <v>140978546.56900978</v>
      </c>
      <c r="C5" s="1">
        <f>('03 Power Trend'!J5-'03 Power Trend'!A5)^2</f>
        <v>53181072.387945019</v>
      </c>
      <c r="D5" s="1">
        <f>('03 Exponential Trend'!J5-'03 Exponential Trend'!A5)^2</f>
        <v>66712019.238463715</v>
      </c>
      <c r="E5" s="1">
        <f>('04 Quadratic Trend'!K5-'04 Quadratic Trend'!A5)^2</f>
        <v>9715258.2764390055</v>
      </c>
      <c r="F5">
        <f>('04 Logistic Trend'!G5-'04 Logistic Trend'!A5)^2</f>
        <v>425853028.65300447</v>
      </c>
      <c r="H5" s="3" t="s">
        <v>103</v>
      </c>
      <c r="I5">
        <f>_xlfn.VAR.S(E2:E43)</f>
        <v>3613604165885231</v>
      </c>
      <c r="J5" s="15">
        <f t="shared" si="0"/>
        <v>1</v>
      </c>
      <c r="L5" s="23" t="s">
        <v>111</v>
      </c>
    </row>
    <row r="6" spans="1:12" x14ac:dyDescent="0.2">
      <c r="A6" s="21">
        <v>5</v>
      </c>
      <c r="B6" s="1">
        <f>('03 Linear Trend'!J6-'03 Linear Trend'!A6)^2</f>
        <v>6379899.4541449714</v>
      </c>
      <c r="C6" s="1">
        <f>('03 Power Trend'!J6-'03 Power Trend'!A6)^2</f>
        <v>25313640.51655288</v>
      </c>
      <c r="D6" s="1">
        <f>('03 Exponential Trend'!J6-'03 Exponential Trend'!A6)^2</f>
        <v>312343.96463617875</v>
      </c>
      <c r="E6" s="1">
        <f>('04 Quadratic Trend'!K6-'04 Quadratic Trend'!A6)^2</f>
        <v>16530755.574074252</v>
      </c>
      <c r="F6">
        <f>('04 Logistic Trend'!G6-'04 Logistic Trend'!A6)^2</f>
        <v>967587849.40908825</v>
      </c>
      <c r="H6" s="3" t="s">
        <v>104</v>
      </c>
      <c r="I6">
        <f>_xlfn.VAR.S(F2:F43)</f>
        <v>9.015346460568585E+17</v>
      </c>
      <c r="J6" s="15">
        <f t="shared" si="0"/>
        <v>249.48350861666884</v>
      </c>
    </row>
    <row r="7" spans="1:12" x14ac:dyDescent="0.2">
      <c r="A7" s="21">
        <v>6</v>
      </c>
      <c r="B7" s="1">
        <f>('03 Linear Trend'!J7-'03 Linear Trend'!A7)^2</f>
        <v>80232396.87759468</v>
      </c>
      <c r="C7" s="1">
        <f>('03 Power Trend'!J7-'03 Power Trend'!A7)^2</f>
        <v>480116.88040630869</v>
      </c>
      <c r="D7" s="1">
        <f>('03 Exponential Trend'!J7-'03 Exponential Trend'!A7)^2</f>
        <v>41801992.377407603</v>
      </c>
      <c r="E7" s="1">
        <f>('04 Quadratic Trend'!K7-'04 Quadratic Trend'!A7)^2</f>
        <v>19470348.676322605</v>
      </c>
      <c r="F7">
        <f>('04 Logistic Trend'!G7-'04 Logistic Trend'!A7)^2</f>
        <v>660627848.89549863</v>
      </c>
    </row>
    <row r="8" spans="1:12" x14ac:dyDescent="0.2">
      <c r="A8" s="21">
        <v>7</v>
      </c>
      <c r="B8" s="1">
        <f>('03 Linear Trend'!J8-'03 Linear Trend'!A8)^2</f>
        <v>1792014.4875982332</v>
      </c>
      <c r="C8" s="1">
        <f>('03 Power Trend'!J8-'03 Power Trend'!A8)^2</f>
        <v>95576345.221955374</v>
      </c>
      <c r="D8" s="1">
        <f>('03 Exponential Trend'!J8-'03 Exponential Trend'!A8)^2</f>
        <v>346528.2341820267</v>
      </c>
      <c r="E8" s="1">
        <f>('04 Quadratic Trend'!K8-'04 Quadratic Trend'!A8)^2</f>
        <v>1630969.3699972478</v>
      </c>
      <c r="F8">
        <f>('04 Logistic Trend'!G8-'04 Logistic Trend'!A8)^2</f>
        <v>1173115983.2807934</v>
      </c>
    </row>
    <row r="9" spans="1:12" x14ac:dyDescent="0.2">
      <c r="A9" s="21">
        <v>8</v>
      </c>
      <c r="B9" s="1">
        <f>('03 Linear Trend'!J9-'03 Linear Trend'!A9)^2</f>
        <v>32856615.458296232</v>
      </c>
      <c r="C9" s="1">
        <f>('03 Power Trend'!J9-'03 Power Trend'!A9)^2</f>
        <v>40654127.929386012</v>
      </c>
      <c r="D9" s="1">
        <f>('03 Exponential Trend'!J9-'03 Exponential Trend'!A9)^2</f>
        <v>18839076.233296998</v>
      </c>
      <c r="E9" s="1">
        <f>('04 Quadratic Trend'!K9-'04 Quadratic Trend'!A9)^2</f>
        <v>24278768.777672514</v>
      </c>
      <c r="F9">
        <f>('04 Logistic Trend'!G9-'04 Logistic Trend'!A9)^2</f>
        <v>941554230.69023371</v>
      </c>
    </row>
    <row r="10" spans="1:12" x14ac:dyDescent="0.2">
      <c r="A10" s="21">
        <v>9</v>
      </c>
      <c r="B10" s="1">
        <f>('03 Linear Trend'!J10-'03 Linear Trend'!A10)^2</f>
        <v>3095922.515476102</v>
      </c>
      <c r="C10" s="1">
        <f>('03 Power Trend'!J10-'03 Power Trend'!A10)^2</f>
        <v>210034677.68036026</v>
      </c>
      <c r="D10" s="1">
        <f>('03 Exponential Trend'!J10-'03 Exponential Trend'!A10)^2</f>
        <v>6994664.7815071139</v>
      </c>
      <c r="E10" s="1">
        <f>('04 Quadratic Trend'!K10-'04 Quadratic Trend'!A10)^2</f>
        <v>758900.01356837829</v>
      </c>
      <c r="F10">
        <f>('04 Logistic Trend'!G10-'04 Logistic Trend'!A10)^2</f>
        <v>1513102443.1173403</v>
      </c>
    </row>
    <row r="11" spans="1:12" x14ac:dyDescent="0.2">
      <c r="A11" s="21">
        <v>10</v>
      </c>
      <c r="B11" s="1">
        <f>('03 Linear Trend'!J11-'03 Linear Trend'!A11)^2</f>
        <v>27982874.924680222</v>
      </c>
      <c r="C11" s="1">
        <f>('03 Power Trend'!J11-'03 Power Trend'!A11)^2</f>
        <v>60403526.872457199</v>
      </c>
      <c r="D11" s="1">
        <f>('03 Exponential Trend'!J11-'03 Exponential Trend'!A11)^2</f>
        <v>23829125.24632014</v>
      </c>
      <c r="E11" s="1">
        <f>('04 Quadratic Trend'!K11-'04 Quadratic Trend'!A11)^2</f>
        <v>60115408.160964087</v>
      </c>
      <c r="F11">
        <f>('04 Logistic Trend'!G11-'04 Logistic Trend'!A11)^2</f>
        <v>1053910678.8553048</v>
      </c>
    </row>
    <row r="12" spans="1:12" x14ac:dyDescent="0.2">
      <c r="A12" s="21">
        <v>11</v>
      </c>
      <c r="B12" s="1">
        <f>('03 Linear Trend'!J12-'03 Linear Trend'!A12)^2</f>
        <v>6084649.3854416348</v>
      </c>
      <c r="C12" s="1">
        <f>('03 Power Trend'!J12-'03 Power Trend'!A12)^2</f>
        <v>243785771.34735259</v>
      </c>
      <c r="D12" s="1">
        <f>('03 Exponential Trend'!J12-'03 Exponential Trend'!A12)^2</f>
        <v>5896377.8049757201</v>
      </c>
      <c r="E12" s="1">
        <f>('04 Quadratic Trend'!K12-'04 Quadratic Trend'!A12)^2</f>
        <v>2114212.3178491504</v>
      </c>
      <c r="F12">
        <f>('04 Logistic Trend'!G12-'04 Logistic Trend'!A12)^2</f>
        <v>1658614628.2041745</v>
      </c>
    </row>
    <row r="13" spans="1:12" x14ac:dyDescent="0.2">
      <c r="A13" s="21">
        <v>12</v>
      </c>
      <c r="B13" s="1">
        <f>('03 Linear Trend'!J13-'03 Linear Trend'!A13)^2</f>
        <v>3931096.8158430881</v>
      </c>
      <c r="C13" s="1">
        <f>('03 Power Trend'!J13-'03 Power Trend'!A13)^2</f>
        <v>121989995.44722988</v>
      </c>
      <c r="D13" s="1">
        <f>('03 Exponential Trend'!J13-'03 Exponential Trend'!A13)^2</f>
        <v>5941837.0377855543</v>
      </c>
      <c r="E13" s="1">
        <f>('04 Quadratic Trend'!K13-'04 Quadratic Trend'!A13)^2</f>
        <v>52456886.589157537</v>
      </c>
      <c r="F13">
        <f>('04 Logistic Trend'!G13-'04 Logistic Trend'!A13)^2</f>
        <v>1344814414.2107873</v>
      </c>
    </row>
    <row r="14" spans="1:12" x14ac:dyDescent="0.2">
      <c r="A14" s="21">
        <v>13</v>
      </c>
      <c r="B14" s="1">
        <f>('03 Linear Trend'!J14-'03 Linear Trend'!A14)^2</f>
        <v>15248189.649637727</v>
      </c>
      <c r="C14" s="1">
        <f>('03 Power Trend'!J14-'03 Power Trend'!A14)^2</f>
        <v>276859196.9664368</v>
      </c>
      <c r="D14" s="1">
        <f>('03 Exponential Trend'!J14-'03 Exponential Trend'!A14)^2</f>
        <v>9390548.5418804791</v>
      </c>
      <c r="E14" s="1">
        <f>('04 Quadratic Trend'!K14-'04 Quadratic Trend'!A14)^2</f>
        <v>6638101.1807097262</v>
      </c>
      <c r="F14">
        <f>('04 Logistic Trend'!G14-'04 Logistic Trend'!A14)^2</f>
        <v>1835537532.9114833</v>
      </c>
    </row>
    <row r="15" spans="1:12" x14ac:dyDescent="0.2">
      <c r="A15" s="21">
        <v>14</v>
      </c>
      <c r="B15" s="1">
        <f>('03 Linear Trend'!J15-'03 Linear Trend'!A15)^2</f>
        <v>5529620.6554061584</v>
      </c>
      <c r="C15" s="1">
        <f>('03 Power Trend'!J15-'03 Power Trend'!A15)^2</f>
        <v>98784958.400226533</v>
      </c>
      <c r="D15" s="1">
        <f>('03 Exponential Trend'!J15-'03 Exponential Trend'!A15)^2</f>
        <v>12576751.948850712</v>
      </c>
      <c r="E15" s="1">
        <f>('04 Quadratic Trend'!K15-'04 Quadratic Trend'!A15)^2</f>
        <v>98729043.970585421</v>
      </c>
      <c r="F15">
        <f>('04 Logistic Trend'!G15-'04 Logistic Trend'!A15)^2</f>
        <v>1351247202.8410447</v>
      </c>
    </row>
    <row r="16" spans="1:12" x14ac:dyDescent="0.2">
      <c r="A16" s="21">
        <v>15</v>
      </c>
      <c r="B16" s="1">
        <f>('03 Linear Trend'!J16-'03 Linear Trend'!A16)^2</f>
        <v>32490887.729909938</v>
      </c>
      <c r="C16" s="1">
        <f>('03 Power Trend'!J16-'03 Power Trend'!A16)^2</f>
        <v>303317446.2584672</v>
      </c>
      <c r="D16" s="1">
        <f>('03 Exponential Trend'!J16-'03 Exponential Trend'!A16)^2</f>
        <v>17493461.437817555</v>
      </c>
      <c r="E16" s="1">
        <f>('04 Quadratic Trend'!K16-'04 Quadratic Trend'!A16)^2</f>
        <v>8237507.2522130674</v>
      </c>
      <c r="F16">
        <f>('04 Logistic Trend'!G16-'04 Logistic Trend'!A16)^2</f>
        <v>2013535932.258743</v>
      </c>
    </row>
    <row r="17" spans="1:6" x14ac:dyDescent="0.2">
      <c r="A17" s="21">
        <v>16</v>
      </c>
      <c r="B17" s="1">
        <f>('03 Linear Trend'!J17-'03 Linear Trend'!A17)^2</f>
        <v>1456053.1792077729</v>
      </c>
      <c r="C17" s="1">
        <f>('03 Power Trend'!J17-'03 Power Trend'!A17)^2</f>
        <v>149635844.49943876</v>
      </c>
      <c r="D17" s="1">
        <f>('03 Exponential Trend'!J17-'03 Exponential Trend'!A17)^2</f>
        <v>361803.43349704641</v>
      </c>
      <c r="E17" s="1">
        <f>('04 Quadratic Trend'!K17-'04 Quadratic Trend'!A17)^2</f>
        <v>67749717.947377279</v>
      </c>
      <c r="F17">
        <f>('04 Logistic Trend'!G17-'04 Logistic Trend'!A17)^2</f>
        <v>1626532613.9288039</v>
      </c>
    </row>
    <row r="18" spans="1:6" x14ac:dyDescent="0.2">
      <c r="A18" s="21">
        <v>17</v>
      </c>
      <c r="B18" s="1">
        <f>('03 Linear Trend'!J18-'03 Linear Trend'!A18)^2</f>
        <v>35560502.047861978</v>
      </c>
      <c r="C18" s="1">
        <f>('03 Power Trend'!J18-'03 Power Trend'!A18)^2</f>
        <v>262332447.02308941</v>
      </c>
      <c r="D18" s="1">
        <f>('03 Exponential Trend'!J18-'03 Exponential Trend'!A18)^2</f>
        <v>15186637.930029577</v>
      </c>
      <c r="E18" s="1">
        <f>('04 Quadratic Trend'!K18-'04 Quadratic Trend'!A18)^2</f>
        <v>17842147.824670665</v>
      </c>
      <c r="F18">
        <f>('04 Logistic Trend'!G18-'04 Logistic Trend'!A18)^2</f>
        <v>2018616176.895128</v>
      </c>
    </row>
    <row r="19" spans="1:6" x14ac:dyDescent="0.2">
      <c r="A19" s="21">
        <v>18</v>
      </c>
      <c r="B19" s="1">
        <f>('03 Linear Trend'!J19-'03 Linear Trend'!A19)^2</f>
        <v>1679991.5574956189</v>
      </c>
      <c r="C19" s="1">
        <f>('03 Power Trend'!J19-'03 Power Trend'!A19)^2</f>
        <v>64853298.098246932</v>
      </c>
      <c r="D19" s="1">
        <f>('03 Exponential Trend'!J19-'03 Exponential Trend'!A19)^2</f>
        <v>12870353.658218468</v>
      </c>
      <c r="E19" s="1">
        <f>('04 Quadratic Trend'!K19-'04 Quadratic Trend'!A19)^2</f>
        <v>146773969.74447498</v>
      </c>
      <c r="F19">
        <f>('04 Logistic Trend'!G19-'04 Logistic Trend'!A19)^2</f>
        <v>1399066111.2313085</v>
      </c>
    </row>
    <row r="20" spans="1:6" x14ac:dyDescent="0.2">
      <c r="A20" s="21">
        <v>19</v>
      </c>
      <c r="B20" s="1">
        <f>('03 Linear Trend'!J20-'03 Linear Trend'!A20)^2</f>
        <v>58330604.813443154</v>
      </c>
      <c r="C20" s="1">
        <f>('03 Power Trend'!J20-'03 Power Trend'!A20)^2</f>
        <v>256645174.29762799</v>
      </c>
      <c r="D20" s="1">
        <f>('03 Exponential Trend'!J20-'03 Exponential Trend'!A20)^2</f>
        <v>26567335.646511324</v>
      </c>
      <c r="E20" s="1">
        <f>('04 Quadratic Trend'!K20-'04 Quadratic Trend'!A20)^2</f>
        <v>13653940.620088283</v>
      </c>
      <c r="F20">
        <f>('04 Logistic Trend'!G20-'04 Logistic Trend'!A20)^2</f>
        <v>2112905022.3003552</v>
      </c>
    </row>
    <row r="21" spans="1:6" x14ac:dyDescent="0.2">
      <c r="A21" s="21">
        <v>20</v>
      </c>
      <c r="B21" s="1">
        <f>('03 Linear Trend'!J21-'03 Linear Trend'!A21)^2</f>
        <v>11115822.375794986</v>
      </c>
      <c r="C21" s="1">
        <f>('03 Power Trend'!J21-'03 Power Trend'!A21)^2</f>
        <v>113965810.04614255</v>
      </c>
      <c r="D21" s="1">
        <f>('03 Exponential Trend'!J21-'03 Exponential Trend'!A21)^2</f>
        <v>480375.81144314044</v>
      </c>
      <c r="E21" s="1">
        <f>('04 Quadratic Trend'!K21-'04 Quadratic Trend'!A21)^2</f>
        <v>70463872.065332845</v>
      </c>
      <c r="F21">
        <f>('04 Logistic Trend'!G21-'04 Logistic Trend'!A21)^2</f>
        <v>1696440651.8230791</v>
      </c>
    </row>
    <row r="22" spans="1:6" x14ac:dyDescent="0.2">
      <c r="A22" s="21">
        <v>21</v>
      </c>
      <c r="B22" s="1">
        <f>('03 Linear Trend'!J22-'03 Linear Trend'!A22)^2</f>
        <v>168704570.67846486</v>
      </c>
      <c r="C22" s="1">
        <f>('03 Power Trend'!J22-'03 Power Trend'!A22)^2</f>
        <v>369441653.20704079</v>
      </c>
      <c r="D22" s="1">
        <f>('03 Exponential Trend'!J22-'03 Exponential Trend'!A22)^2</f>
        <v>104533273.40120365</v>
      </c>
      <c r="E22" s="1">
        <f>('04 Quadratic Trend'!K22-'04 Quadratic Trend'!A22)^2</f>
        <v>965330.8323761581</v>
      </c>
      <c r="F22">
        <f>('04 Logistic Trend'!G22-'04 Logistic Trend'!A22)^2</f>
        <v>2526670756</v>
      </c>
    </row>
    <row r="23" spans="1:6" x14ac:dyDescent="0.2">
      <c r="A23" s="21">
        <v>22</v>
      </c>
      <c r="B23" s="1">
        <f>('03 Linear Trend'!J23-'03 Linear Trend'!A23)^2</f>
        <v>520990886.2206037</v>
      </c>
      <c r="C23" s="1">
        <f>('03 Power Trend'!J23-'03 Power Trend'!A23)^2</f>
        <v>777637214.83308172</v>
      </c>
      <c r="D23" s="1">
        <f>('03 Exponential Trend'!J23-'03 Exponential Trend'!A23)^2</f>
        <v>398880593.37727976</v>
      </c>
      <c r="E23" s="1">
        <f>('04 Quadratic Trend'!K23-'04 Quadratic Trend'!A23)^2</f>
        <v>113619441.70398356</v>
      </c>
      <c r="F23">
        <f>('04 Logistic Trend'!G23-'04 Logistic Trend'!A23)^2</f>
        <v>3531601633.9924502</v>
      </c>
    </row>
    <row r="24" spans="1:6" x14ac:dyDescent="0.2">
      <c r="A24" s="21">
        <v>23</v>
      </c>
      <c r="B24" s="1">
        <f>('03 Linear Trend'!J24-'03 Linear Trend'!A24)^2</f>
        <v>445286688.91924071</v>
      </c>
      <c r="C24" s="1">
        <f>('03 Power Trend'!J24-'03 Power Trend'!A24)^2</f>
        <v>621725256.98674881</v>
      </c>
      <c r="D24" s="1">
        <f>('03 Exponential Trend'!J24-'03 Exponential Trend'!A24)^2</f>
        <v>331061414.71359938</v>
      </c>
      <c r="E24" s="1">
        <f>('04 Quadratic Trend'!K24-'04 Quadratic Trend'!A24)^2</f>
        <v>79101680.600979775</v>
      </c>
      <c r="F24">
        <f>('04 Logistic Trend'!G24-'04 Logistic Trend'!A24)^2</f>
        <v>3241301365.65065</v>
      </c>
    </row>
    <row r="25" spans="1:6" x14ac:dyDescent="0.2">
      <c r="A25" s="21">
        <v>24</v>
      </c>
      <c r="B25" s="1">
        <f>('03 Linear Trend'!J25-'03 Linear Trend'!A25)^2</f>
        <v>231386982.33056802</v>
      </c>
      <c r="C25" s="1">
        <f>('03 Power Trend'!J25-'03 Power Trend'!A25)^2</f>
        <v>315529765.10709876</v>
      </c>
      <c r="D25" s="1">
        <f>('03 Exponential Trend'!J25-'03 Exponential Trend'!A25)^2</f>
        <v>150968452.41671762</v>
      </c>
      <c r="E25" s="1">
        <f>('04 Quadratic Trend'!K25-'04 Quadratic Trend'!A25)^2</f>
        <v>9483467.7478871476</v>
      </c>
      <c r="F25">
        <f>('04 Logistic Trend'!G25-'04 Logistic Trend'!A25)^2</f>
        <v>2517761603.2033615</v>
      </c>
    </row>
    <row r="26" spans="1:6" x14ac:dyDescent="0.2">
      <c r="A26" s="21">
        <v>25</v>
      </c>
      <c r="B26" s="1">
        <f>('03 Linear Trend'!J26-'03 Linear Trend'!A26)^2</f>
        <v>500327514.62474644</v>
      </c>
      <c r="C26" s="1">
        <f>('03 Power Trend'!J26-'03 Power Trend'!A26)^2</f>
        <v>556503151.98456359</v>
      </c>
      <c r="D26" s="1">
        <f>('03 Exponential Trend'!J26-'03 Exponential Trend'!A26)^2</f>
        <v>378768082.30006814</v>
      </c>
      <c r="E26" s="1">
        <f>('04 Quadratic Trend'!K26-'04 Quadratic Trend'!A26)^2</f>
        <v>108786490.54025511</v>
      </c>
      <c r="F26">
        <f>('04 Logistic Trend'!G26-'04 Logistic Trend'!A26)^2</f>
        <v>3178576992.7629743</v>
      </c>
    </row>
    <row r="27" spans="1:6" x14ac:dyDescent="0.2">
      <c r="A27" s="21">
        <v>26</v>
      </c>
      <c r="B27" s="1">
        <f>('03 Linear Trend'!J27-'03 Linear Trend'!A27)^2</f>
        <v>57313900.194538847</v>
      </c>
      <c r="C27" s="1">
        <f>('03 Power Trend'!J27-'03 Power Trend'!A27)^2</f>
        <v>55032926.963545986</v>
      </c>
      <c r="D27" s="1">
        <f>('03 Exponential Trend'!J27-'03 Exponential Trend'!A27)^2</f>
        <v>22275680.660299357</v>
      </c>
      <c r="E27" s="1">
        <f>('04 Quadratic Trend'!K27-'04 Quadratic Trend'!A27)^2</f>
        <v>16446516.880577696</v>
      </c>
      <c r="F27">
        <f>('04 Logistic Trend'!G27-'04 Logistic Trend'!A27)^2</f>
        <v>1643425567.7501938</v>
      </c>
    </row>
    <row r="28" spans="1:6" x14ac:dyDescent="0.2">
      <c r="A28" s="21">
        <v>27</v>
      </c>
      <c r="B28" s="1">
        <f>('03 Linear Trend'!J28-'03 Linear Trend'!A28)^2</f>
        <v>162745816.49978569</v>
      </c>
      <c r="C28" s="1">
        <f>('03 Power Trend'!J28-'03 Power Trend'!A28)^2</f>
        <v>125184576.76684488</v>
      </c>
      <c r="D28" s="1">
        <f>('03 Exponential Trend'!J28-'03 Exponential Trend'!A28)^2</f>
        <v>99973183.945459038</v>
      </c>
      <c r="E28" s="1">
        <f>('04 Quadratic Trend'!K28-'04 Quadratic Trend'!A28)^2</f>
        <v>2436732.1712811533</v>
      </c>
      <c r="F28">
        <f>('04 Logistic Trend'!G28-'04 Logistic Trend'!A28)^2</f>
        <v>1989102750.6644146</v>
      </c>
    </row>
    <row r="29" spans="1:6" x14ac:dyDescent="0.2">
      <c r="A29" s="21">
        <v>28</v>
      </c>
      <c r="B29" s="1">
        <f>('03 Linear Trend'!J29-'03 Linear Trend'!A29)^2</f>
        <v>48717318.690644458</v>
      </c>
      <c r="C29" s="1">
        <f>('03 Power Trend'!J29-'03 Power Trend'!A29)^2</f>
        <v>15647172.259827757</v>
      </c>
      <c r="D29" s="1">
        <f>('03 Exponential Trend'!J29-'03 Exponential Trend'!A29)^2</f>
        <v>18933895.645172615</v>
      </c>
      <c r="E29" s="1">
        <f>('04 Quadratic Trend'!K29-'04 Quadratic Trend'!A29)^2</f>
        <v>13458782.913236061</v>
      </c>
      <c r="F29">
        <f>('04 Logistic Trend'!G29-'04 Logistic Trend'!A29)^2</f>
        <v>1414853062.6528311</v>
      </c>
    </row>
    <row r="30" spans="1:6" x14ac:dyDescent="0.2">
      <c r="A30" s="21">
        <v>29</v>
      </c>
      <c r="B30" s="1">
        <f>('03 Linear Trend'!J30-'03 Linear Trend'!A30)^2</f>
        <v>62037230.965473801</v>
      </c>
      <c r="C30" s="1">
        <f>('03 Power Trend'!J30-'03 Power Trend'!A30)^2</f>
        <v>11290452.640241381</v>
      </c>
      <c r="D30" s="1">
        <f>('03 Exponential Trend'!J30-'03 Exponential Trend'!A30)^2</f>
        <v>29334934.66367704</v>
      </c>
      <c r="E30" s="1">
        <f>('04 Quadratic Trend'!K30-'04 Quadratic Trend'!A30)^2</f>
        <v>4436522.6520284377</v>
      </c>
      <c r="F30">
        <f>('04 Logistic Trend'!G30-'04 Logistic Trend'!A30)^2</f>
        <v>1385765200.0024686</v>
      </c>
    </row>
    <row r="31" spans="1:6" x14ac:dyDescent="0.2">
      <c r="A31" s="21">
        <v>30</v>
      </c>
      <c r="B31" s="1">
        <f>('03 Linear Trend'!J31-'03 Linear Trend'!A31)^2</f>
        <v>19519041.183689807</v>
      </c>
      <c r="C31" s="1">
        <f>('03 Power Trend'!J31-'03 Power Trend'!A31)^2</f>
        <v>109426107.1029353</v>
      </c>
      <c r="D31" s="1">
        <f>('03 Exponential Trend'!J31-'03 Exponential Trend'!A31)^2</f>
        <v>44505346.38507881</v>
      </c>
      <c r="E31" s="1">
        <f>('04 Quadratic Trend'!K31-'04 Quadratic Trend'!A31)^2</f>
        <v>185424012.57508796</v>
      </c>
      <c r="F31">
        <f>('04 Logistic Trend'!G31-'04 Logistic Trend'!A31)^2</f>
        <v>555616376.33167958</v>
      </c>
    </row>
    <row r="32" spans="1:6" x14ac:dyDescent="0.2">
      <c r="A32" s="21">
        <v>31</v>
      </c>
      <c r="B32" s="1">
        <f>('03 Linear Trend'!J32-'03 Linear Trend'!A32)^2</f>
        <v>279371.99369341158</v>
      </c>
      <c r="C32" s="1">
        <f>('03 Power Trend'!J32-'03 Power Trend'!A32)^2</f>
        <v>50023610.210215621</v>
      </c>
      <c r="D32" s="1">
        <f>('03 Exponential Trend'!J32-'03 Exponential Trend'!A32)^2</f>
        <v>2185622.5814453182</v>
      </c>
      <c r="E32" s="1">
        <f>('04 Quadratic Trend'!K32-'04 Quadratic Trend'!A32)^2</f>
        <v>60355043.359219648</v>
      </c>
      <c r="F32">
        <f>('04 Logistic Trend'!G32-'04 Logistic Trend'!A32)^2</f>
        <v>733684534.96944392</v>
      </c>
    </row>
    <row r="33" spans="1:6" x14ac:dyDescent="0.2">
      <c r="A33" s="21">
        <v>32</v>
      </c>
      <c r="B33" s="1">
        <f>('03 Linear Trend'!J33-'03 Linear Trend'!A33)^2</f>
        <v>58153604.47401043</v>
      </c>
      <c r="C33" s="1">
        <f>('03 Power Trend'!J33-'03 Power Trend'!A33)^2</f>
        <v>282781836.22845834</v>
      </c>
      <c r="D33" s="1">
        <f>('03 Exponential Trend'!J33-'03 Exponential Trend'!A33)^2</f>
        <v>87361788.703935474</v>
      </c>
      <c r="E33" s="1">
        <f>('04 Quadratic Trend'!K33-'04 Quadratic Trend'!A33)^2</f>
        <v>222120636.38265446</v>
      </c>
      <c r="F33">
        <f>('04 Logistic Trend'!G33-'04 Logistic Trend'!A33)^2</f>
        <v>303883370.39475238</v>
      </c>
    </row>
    <row r="34" spans="1:6" x14ac:dyDescent="0.2">
      <c r="A34" s="21">
        <v>33</v>
      </c>
      <c r="B34" s="1">
        <f>('03 Linear Trend'!J34-'03 Linear Trend'!A34)^2</f>
        <v>619776.18204464414</v>
      </c>
      <c r="C34" s="1">
        <f>('03 Power Trend'!J34-'03 Power Trend'!A34)^2</f>
        <v>134446726.668542</v>
      </c>
      <c r="D34" s="1">
        <f>('03 Exponential Trend'!J34-'03 Exponential Trend'!A34)^2</f>
        <v>4760241.9124058904</v>
      </c>
      <c r="E34" s="1">
        <f>('04 Quadratic Trend'!K34-'04 Quadratic Trend'!A34)^2</f>
        <v>47992093.253565662</v>
      </c>
      <c r="F34">
        <f>('04 Logistic Trend'!G34-'04 Logistic Trend'!A34)^2</f>
        <v>515538936.49430805</v>
      </c>
    </row>
    <row r="35" spans="1:6" x14ac:dyDescent="0.2">
      <c r="A35" s="21">
        <v>34</v>
      </c>
      <c r="B35" s="1">
        <f>('03 Linear Trend'!J35-'03 Linear Trend'!A35)^2</f>
        <v>85519330.784766451</v>
      </c>
      <c r="C35" s="1">
        <f>('03 Power Trend'!J35-'03 Power Trend'!A35)^2</f>
        <v>470896818.61256391</v>
      </c>
      <c r="D35" s="1">
        <f>('03 Exponential Trend'!J35-'03 Exponential Trend'!A35)^2</f>
        <v>105575108.64311148</v>
      </c>
      <c r="E35" s="1">
        <f>('04 Quadratic Trend'!K35-'04 Quadratic Trend'!A35)^2</f>
        <v>199730724.62605524</v>
      </c>
      <c r="F35">
        <f>('04 Logistic Trend'!G35-'04 Logistic Trend'!A35)^2</f>
        <v>159196179.94068554</v>
      </c>
    </row>
    <row r="36" spans="1:6" x14ac:dyDescent="0.2">
      <c r="A36" s="21">
        <v>35</v>
      </c>
      <c r="B36" s="1">
        <f>('03 Linear Trend'!J36-'03 Linear Trend'!A36)^2</f>
        <v>33097.135341426074</v>
      </c>
      <c r="C36" s="1">
        <f>('03 Power Trend'!J36-'03 Power Trend'!A36)^2</f>
        <v>194345781.53223288</v>
      </c>
      <c r="D36" s="1">
        <f>('03 Exponential Trend'!J36-'03 Exponential Trend'!A36)^2</f>
        <v>190734.13079018687</v>
      </c>
      <c r="E36" s="1">
        <f>('04 Quadratic Trend'!K36-'04 Quadratic Trend'!A36)^2</f>
        <v>11086573.738612924</v>
      </c>
      <c r="F36">
        <f>('04 Logistic Trend'!G36-'04 Logistic Trend'!A36)^2</f>
        <v>414513978.30729324</v>
      </c>
    </row>
    <row r="37" spans="1:6" x14ac:dyDescent="0.2">
      <c r="A37" s="21">
        <v>36</v>
      </c>
      <c r="B37" s="1">
        <f>('03 Linear Trend'!J37-'03 Linear Trend'!A37)^2</f>
        <v>53049101.354431465</v>
      </c>
      <c r="C37" s="1">
        <f>('03 Power Trend'!J37-'03 Power Trend'!A37)^2</f>
        <v>533642484.99592727</v>
      </c>
      <c r="D37" s="1">
        <f>('03 Exponential Trend'!J37-'03 Exponential Trend'!A37)^2</f>
        <v>55524951.307410851</v>
      </c>
      <c r="E37" s="1">
        <f>('04 Quadratic Trend'!K37-'04 Quadratic Trend'!A37)^2</f>
        <v>86559733.941227764</v>
      </c>
      <c r="F37">
        <f>('04 Logistic Trend'!G37-'04 Logistic Trend'!A37)^2</f>
        <v>124328931.36050892</v>
      </c>
    </row>
    <row r="38" spans="1:6" x14ac:dyDescent="0.2">
      <c r="A38" s="21">
        <v>37</v>
      </c>
      <c r="B38" s="1">
        <f>('03 Linear Trend'!J38-'03 Linear Trend'!A38)^2</f>
        <v>10284136.980884466</v>
      </c>
      <c r="C38" s="1">
        <f>('03 Power Trend'!J38-'03 Power Trend'!A38)^2</f>
        <v>430216232.61522508</v>
      </c>
      <c r="D38" s="1">
        <f>('03 Exponential Trend'!J38-'03 Exponential Trend'!A38)^2</f>
        <v>8304388.0360573661</v>
      </c>
      <c r="E38" s="1">
        <f>('04 Quadratic Trend'!K38-'04 Quadratic Trend'!A38)^2</f>
        <v>13089237.740098055</v>
      </c>
      <c r="F38">
        <f>('04 Logistic Trend'!G38-'04 Logistic Trend'!A38)^2</f>
        <v>180340168.09390414</v>
      </c>
    </row>
    <row r="39" spans="1:6" x14ac:dyDescent="0.2">
      <c r="A39" s="21">
        <v>38</v>
      </c>
      <c r="B39" s="1">
        <f>('03 Linear Trend'!J39-'03 Linear Trend'!A39)^2</f>
        <v>207541380.93197486</v>
      </c>
      <c r="C39" s="1">
        <f>('03 Power Trend'!J39-'03 Power Trend'!A39)^2</f>
        <v>1134377261.491982</v>
      </c>
      <c r="D39" s="1">
        <f>('03 Exponential Trend'!J39-'03 Exponential Trend'!A39)^2</f>
        <v>183462592.30218256</v>
      </c>
      <c r="E39" s="1">
        <f>('04 Quadratic Trend'!K39-'04 Quadratic Trend'!A39)^2</f>
        <v>171351268.49456584</v>
      </c>
      <c r="F39">
        <f>('04 Logistic Trend'!G39-'04 Logistic Trend'!A39)^2</f>
        <v>144908.96613443384</v>
      </c>
    </row>
    <row r="40" spans="1:6" x14ac:dyDescent="0.2">
      <c r="A40" s="21">
        <v>39</v>
      </c>
      <c r="B40" s="1">
        <f>('03 Linear Trend'!J40-'03 Linear Trend'!A40)^2</f>
        <v>20964531.756189726</v>
      </c>
      <c r="C40" s="1">
        <f>('03 Power Trend'!J40-'03 Power Trend'!A40)^2</f>
        <v>656038245.72173703</v>
      </c>
      <c r="D40" s="1">
        <f>('03 Exponential Trend'!J40-'03 Exponential Trend'!A40)^2</f>
        <v>9842224.779229993</v>
      </c>
      <c r="E40" s="1">
        <f>('04 Quadratic Trend'!K40-'04 Quadratic Trend'!A40)^2</f>
        <v>2009011.3760086424</v>
      </c>
      <c r="F40">
        <f>('04 Logistic Trend'!G40-'04 Logistic Trend'!A40)^2</f>
        <v>69066886.590951189</v>
      </c>
    </row>
    <row r="41" spans="1:6" x14ac:dyDescent="0.2">
      <c r="A41" s="21">
        <v>40</v>
      </c>
      <c r="B41" s="1">
        <f>('03 Linear Trend'!J41-'03 Linear Trend'!A41)^2</f>
        <v>205983111.43619913</v>
      </c>
      <c r="C41" s="1">
        <f>('03 Power Trend'!J41-'03 Power Trend'!A41)^2</f>
        <v>1381375447.7761424</v>
      </c>
      <c r="D41" s="1">
        <f>('03 Exponential Trend'!J41-'03 Exponential Trend'!A41)^2</f>
        <v>150953889.95794123</v>
      </c>
      <c r="E41" s="1">
        <f>('04 Quadratic Trend'!K41-'04 Quadratic Trend'!A41)^2</f>
        <v>85151001.533450752</v>
      </c>
      <c r="F41">
        <f>('04 Logistic Trend'!G41-'04 Logistic Trend'!A41)^2</f>
        <v>11604121.765561463</v>
      </c>
    </row>
    <row r="42" spans="1:6" x14ac:dyDescent="0.2">
      <c r="A42" s="21">
        <v>41</v>
      </c>
      <c r="B42" s="1">
        <f>('03 Linear Trend'!J42-'03 Linear Trend'!A42)^2</f>
        <v>23016191.681660526</v>
      </c>
      <c r="C42" s="1">
        <f>('03 Power Trend'!J42-'03 Power Trend'!A42)^2</f>
        <v>865034022.66531658</v>
      </c>
      <c r="D42" s="1">
        <f>('03 Exponential Trend'!J42-'03 Exponential Trend'!A42)^2</f>
        <v>4254027.5179008683</v>
      </c>
      <c r="E42" s="1">
        <f>('04 Quadratic Trend'!K42-'04 Quadratic Trend'!A42)^2</f>
        <v>5797870.8355585951</v>
      </c>
      <c r="F42">
        <f>('04 Logistic Trend'!G42-'04 Logistic Trend'!A42)^2</f>
        <v>17311260.873558506</v>
      </c>
    </row>
    <row r="43" spans="1:6" x14ac:dyDescent="0.2">
      <c r="A43" s="21">
        <v>42</v>
      </c>
      <c r="B43" s="1">
        <f>('03 Linear Trend'!J43-'03 Linear Trend'!A43)^2</f>
        <v>295390456.61996371</v>
      </c>
      <c r="C43" s="1">
        <f>('03 Power Trend'!J43-'03 Power Trend'!A43)^2</f>
        <v>1902547759.266885</v>
      </c>
      <c r="D43" s="1">
        <f>('03 Exponential Trend'!J43-'03 Exponential Trend'!A43)^2</f>
        <v>188711346.89022738</v>
      </c>
      <c r="E43" s="1">
        <f>('04 Quadratic Trend'!K43-'04 Quadratic Trend'!A43)^2</f>
        <v>60568479.78501337</v>
      </c>
      <c r="F43">
        <f>('04 Logistic Trend'!G43-'04 Logistic Trend'!A43)^2</f>
        <v>105217382.33341436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 Removing Trend and Season</vt:lpstr>
      <vt:lpstr>02 Constant Prices</vt:lpstr>
      <vt:lpstr>02 GVA Const 2020 in Const 2016</vt:lpstr>
      <vt:lpstr>02 GVA Const 2020 in Const 2024</vt:lpstr>
      <vt:lpstr>03 Linear Trend</vt:lpstr>
      <vt:lpstr>03 DA Linear Model</vt:lpstr>
      <vt:lpstr>03 Power Trend</vt:lpstr>
      <vt:lpstr>03 DA Power Model</vt:lpstr>
      <vt:lpstr>03 Exponential Trend</vt:lpstr>
      <vt:lpstr>03 DA Exponential Model</vt:lpstr>
      <vt:lpstr>04 Quadratic Trend</vt:lpstr>
      <vt:lpstr>04 Logistic Trend</vt:lpstr>
      <vt:lpstr>04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2025-12-25T12:39:05Z</dcterms:modified>
</cp:coreProperties>
</file>