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ielfaltynowski/Documents/Repositories/netherlands-gva-time-series-analysis/src/"/>
    </mc:Choice>
  </mc:AlternateContent>
  <xr:revisionPtr revIDLastSave="0" documentId="13_ncr:1_{B065B34A-0699-034F-8B81-C894399E8AD5}" xr6:coauthVersionLast="47" xr6:coauthVersionMax="47" xr10:uidLastSave="{00000000-0000-0000-0000-000000000000}"/>
  <bookViews>
    <workbookView xWindow="380" yWindow="500" windowWidth="28040" windowHeight="16940" firstSheet="2" activeTab="8" xr2:uid="{C63F3EB8-08D2-414D-8217-7DA2F26F8F2E}"/>
  </bookViews>
  <sheets>
    <sheet name="01 Removing Trend and Season" sheetId="1" r:id="rId1"/>
    <sheet name="02 Constant Prices" sheetId="4" r:id="rId2"/>
    <sheet name="02 GVA Const 2020 in Const 2016" sheetId="5" r:id="rId3"/>
    <sheet name="02 GVA Const 2020 in Const 2024" sheetId="6" r:id="rId4"/>
    <sheet name="03 Linear Trend" sheetId="7" r:id="rId5"/>
    <sheet name="03 DA Linear" sheetId="15" r:id="rId6"/>
    <sheet name="03 Power Trend" sheetId="19" r:id="rId7"/>
    <sheet name="03 DA Power" sheetId="20" r:id="rId8"/>
    <sheet name="03 Exponential Trend" sheetId="21" r:id="rId9"/>
    <sheet name="03 DA Exponential" sheetId="22" r:id="rId10"/>
  </sheets>
  <definedNames>
    <definedName name="solver_adj" localSheetId="1" hidden="1">'02 Constant Prices'!$G$38</definedName>
    <definedName name="solver_cvg" localSheetId="1" hidden="1">0.0001</definedName>
    <definedName name="solver_drv" localSheetId="1" hidden="1">1</definedName>
    <definedName name="solver_eng" localSheetId="1" hidden="1">1</definedName>
    <definedName name="solver_itr" localSheetId="1" hidden="1">2147483647</definedName>
    <definedName name="solver_lin" localSheetId="1" hidden="1">2</definedName>
    <definedName name="solver_mip" localSheetId="1" hidden="1">2147483647</definedName>
    <definedName name="solver_mni" localSheetId="1" hidden="1">30</definedName>
    <definedName name="solver_mrt" localSheetId="1" hidden="1">0.075</definedName>
    <definedName name="solver_msl" localSheetId="1" hidden="1">2</definedName>
    <definedName name="solver_neg" localSheetId="1" hidden="1">1</definedName>
    <definedName name="solver_nod" localSheetId="1" hidden="1">2147483647</definedName>
    <definedName name="solver_num" localSheetId="1" hidden="1">0</definedName>
    <definedName name="solver_opt" localSheetId="1" hidden="1">'02 Constant Prices'!$K$6</definedName>
    <definedName name="solver_pre" localSheetId="1" hidden="1">0.000001</definedName>
    <definedName name="solver_rbv" localSheetId="1" hidden="1">1</definedName>
    <definedName name="solver_rlx" localSheetId="1" hidden="1">2</definedName>
    <definedName name="solver_rsd" localSheetId="1" hidden="1">0</definedName>
    <definedName name="solver_scl" localSheetId="1" hidden="1">1</definedName>
    <definedName name="solver_sho" localSheetId="1" hidden="1">2</definedName>
    <definedName name="solver_ssz" localSheetId="1" hidden="1">100</definedName>
    <definedName name="solver_tim" localSheetId="1" hidden="1">2147483647</definedName>
    <definedName name="solver_tol" localSheetId="1" hidden="1">0.01</definedName>
    <definedName name="solver_typ" localSheetId="1" hidden="1">3</definedName>
    <definedName name="solver_val" localSheetId="1" hidden="1">0</definedName>
    <definedName name="solver_ver" localSheetId="1" hidden="1">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" i="21" l="1"/>
  <c r="N4" i="21"/>
  <c r="N5" i="21"/>
  <c r="N6" i="21"/>
  <c r="N7" i="21"/>
  <c r="N8" i="21"/>
  <c r="N9" i="21"/>
  <c r="N10" i="21"/>
  <c r="N11" i="21"/>
  <c r="N12" i="21"/>
  <c r="N13" i="21"/>
  <c r="N14" i="21"/>
  <c r="N15" i="21"/>
  <c r="N16" i="21"/>
  <c r="N17" i="21"/>
  <c r="N18" i="21"/>
  <c r="N19" i="21"/>
  <c r="N20" i="21"/>
  <c r="N21" i="21"/>
  <c r="N22" i="21"/>
  <c r="N23" i="21"/>
  <c r="N24" i="21"/>
  <c r="N25" i="21"/>
  <c r="N26" i="21"/>
  <c r="N27" i="21"/>
  <c r="N28" i="21"/>
  <c r="N29" i="21"/>
  <c r="N30" i="21"/>
  <c r="N31" i="21"/>
  <c r="N32" i="21"/>
  <c r="N33" i="21"/>
  <c r="N34" i="21"/>
  <c r="N35" i="21"/>
  <c r="N36" i="21"/>
  <c r="N37" i="21"/>
  <c r="N38" i="21"/>
  <c r="N39" i="21"/>
  <c r="N40" i="21"/>
  <c r="N41" i="21"/>
  <c r="N42" i="21"/>
  <c r="N43" i="21"/>
  <c r="N2" i="21"/>
  <c r="L3" i="21"/>
  <c r="L4" i="21"/>
  <c r="L5" i="21"/>
  <c r="L6" i="21"/>
  <c r="L7" i="21"/>
  <c r="L8" i="21"/>
  <c r="L9" i="21"/>
  <c r="L10" i="21"/>
  <c r="L11" i="21"/>
  <c r="L12" i="21"/>
  <c r="L13" i="21"/>
  <c r="L14" i="21"/>
  <c r="L15" i="21"/>
  <c r="L16" i="21"/>
  <c r="L17" i="21"/>
  <c r="L18" i="21"/>
  <c r="L19" i="21"/>
  <c r="L20" i="21"/>
  <c r="L21" i="21"/>
  <c r="L22" i="21"/>
  <c r="L23" i="21"/>
  <c r="L24" i="21"/>
  <c r="L25" i="21"/>
  <c r="L26" i="21"/>
  <c r="L27" i="21"/>
  <c r="L28" i="21"/>
  <c r="L29" i="21"/>
  <c r="L30" i="21"/>
  <c r="L31" i="21"/>
  <c r="L32" i="21"/>
  <c r="L33" i="21"/>
  <c r="L34" i="21"/>
  <c r="L35" i="21"/>
  <c r="L36" i="21"/>
  <c r="L37" i="21"/>
  <c r="L38" i="21"/>
  <c r="L39" i="21"/>
  <c r="L40" i="21"/>
  <c r="L41" i="21"/>
  <c r="L42" i="21"/>
  <c r="L43" i="21"/>
  <c r="L2" i="21"/>
  <c r="J3" i="21"/>
  <c r="J4" i="21"/>
  <c r="J5" i="21"/>
  <c r="J6" i="21"/>
  <c r="J7" i="21"/>
  <c r="J8" i="21"/>
  <c r="J9" i="21"/>
  <c r="J10" i="21"/>
  <c r="J11" i="21"/>
  <c r="J12" i="21"/>
  <c r="J13" i="21"/>
  <c r="J14" i="21"/>
  <c r="J15" i="21"/>
  <c r="J16" i="21"/>
  <c r="J17" i="21"/>
  <c r="J18" i="21"/>
  <c r="J19" i="21"/>
  <c r="J20" i="21"/>
  <c r="J21" i="21"/>
  <c r="J22" i="21"/>
  <c r="J23" i="21"/>
  <c r="J24" i="21"/>
  <c r="J25" i="21"/>
  <c r="J26" i="21"/>
  <c r="J27" i="21"/>
  <c r="J28" i="21"/>
  <c r="J29" i="21"/>
  <c r="J30" i="21"/>
  <c r="J31" i="21"/>
  <c r="J32" i="21"/>
  <c r="J33" i="21"/>
  <c r="J34" i="21"/>
  <c r="J35" i="21"/>
  <c r="J36" i="21"/>
  <c r="J37" i="21"/>
  <c r="J38" i="21"/>
  <c r="J39" i="21"/>
  <c r="J40" i="21"/>
  <c r="J41" i="21"/>
  <c r="J42" i="21"/>
  <c r="J43" i="21"/>
  <c r="J2" i="21"/>
  <c r="E3" i="21"/>
  <c r="E4" i="21"/>
  <c r="E5" i="21"/>
  <c r="E6" i="21"/>
  <c r="E7" i="21"/>
  <c r="E8" i="21"/>
  <c r="E9" i="21"/>
  <c r="E10" i="21"/>
  <c r="E11" i="21"/>
  <c r="E12" i="21"/>
  <c r="E13" i="21"/>
  <c r="E14" i="21"/>
  <c r="E15" i="21"/>
  <c r="E16" i="21"/>
  <c r="E17" i="21"/>
  <c r="E18" i="21"/>
  <c r="E19" i="21"/>
  <c r="E20" i="21"/>
  <c r="E21" i="21"/>
  <c r="E22" i="21"/>
  <c r="E23" i="21"/>
  <c r="E24" i="21"/>
  <c r="E25" i="21"/>
  <c r="E26" i="21"/>
  <c r="E27" i="21"/>
  <c r="E28" i="21"/>
  <c r="E29" i="21"/>
  <c r="E30" i="21"/>
  <c r="E31" i="21"/>
  <c r="E32" i="21"/>
  <c r="E33" i="21"/>
  <c r="E34" i="21"/>
  <c r="E35" i="21"/>
  <c r="E36" i="21"/>
  <c r="E37" i="21"/>
  <c r="E38" i="21"/>
  <c r="E39" i="21"/>
  <c r="E40" i="21"/>
  <c r="E41" i="21"/>
  <c r="E42" i="21"/>
  <c r="E43" i="21"/>
  <c r="E2" i="21"/>
  <c r="H43" i="21"/>
  <c r="H42" i="21"/>
  <c r="H41" i="21"/>
  <c r="H40" i="21"/>
  <c r="H39" i="21"/>
  <c r="H38" i="21"/>
  <c r="H37" i="21"/>
  <c r="H36" i="21"/>
  <c r="H35" i="21"/>
  <c r="H34" i="21"/>
  <c r="H33" i="21"/>
  <c r="H32" i="21"/>
  <c r="H31" i="21"/>
  <c r="H30" i="21"/>
  <c r="H29" i="21"/>
  <c r="H28" i="21"/>
  <c r="H27" i="21"/>
  <c r="H26" i="21"/>
  <c r="H25" i="21"/>
  <c r="H24" i="21"/>
  <c r="H23" i="21"/>
  <c r="H22" i="21"/>
  <c r="H21" i="21"/>
  <c r="H20" i="21"/>
  <c r="H19" i="21"/>
  <c r="H18" i="21"/>
  <c r="H17" i="21"/>
  <c r="H16" i="21"/>
  <c r="H15" i="21"/>
  <c r="H14" i="21"/>
  <c r="H13" i="21"/>
  <c r="H12" i="21"/>
  <c r="H11" i="21"/>
  <c r="H10" i="21"/>
  <c r="H9" i="21"/>
  <c r="H8" i="21"/>
  <c r="H7" i="21"/>
  <c r="H6" i="21"/>
  <c r="H5" i="21"/>
  <c r="H4" i="21"/>
  <c r="H3" i="21"/>
  <c r="H2" i="21"/>
  <c r="Q2" i="21" s="1" a="1"/>
  <c r="Q2" i="21" s="1"/>
  <c r="N2" i="19"/>
  <c r="Q6" i="21" l="1" a="1"/>
  <c r="Q10" i="21" a="1"/>
  <c r="Q10" i="21" s="1"/>
  <c r="H3" i="19"/>
  <c r="H4" i="19"/>
  <c r="H5" i="19"/>
  <c r="H6" i="19"/>
  <c r="H7" i="19"/>
  <c r="H8" i="19"/>
  <c r="H9" i="19"/>
  <c r="H10" i="19"/>
  <c r="H11" i="19"/>
  <c r="H12" i="19"/>
  <c r="H13" i="19"/>
  <c r="H14" i="19"/>
  <c r="H15" i="19"/>
  <c r="H16" i="19"/>
  <c r="H17" i="19"/>
  <c r="H18" i="19"/>
  <c r="H19" i="19"/>
  <c r="H20" i="19"/>
  <c r="H21" i="19"/>
  <c r="H22" i="19"/>
  <c r="H23" i="19"/>
  <c r="H24" i="19"/>
  <c r="H25" i="19"/>
  <c r="H26" i="19"/>
  <c r="H27" i="19"/>
  <c r="H28" i="19"/>
  <c r="H29" i="19"/>
  <c r="H30" i="19"/>
  <c r="H31" i="19"/>
  <c r="H32" i="19"/>
  <c r="H33" i="19"/>
  <c r="H34" i="19"/>
  <c r="H35" i="19"/>
  <c r="H36" i="19"/>
  <c r="H37" i="19"/>
  <c r="H38" i="19"/>
  <c r="H39" i="19"/>
  <c r="H40" i="19"/>
  <c r="H41" i="19"/>
  <c r="H42" i="19"/>
  <c r="H43" i="19"/>
  <c r="H2" i="19"/>
  <c r="E3" i="19"/>
  <c r="E4" i="19"/>
  <c r="E5" i="19"/>
  <c r="E6" i="19"/>
  <c r="E7" i="19"/>
  <c r="E8" i="19"/>
  <c r="E9" i="19"/>
  <c r="E10" i="19"/>
  <c r="E11" i="19"/>
  <c r="E12" i="19"/>
  <c r="E13" i="19"/>
  <c r="E14" i="19"/>
  <c r="E15" i="19"/>
  <c r="E16" i="19"/>
  <c r="E17" i="19"/>
  <c r="E18" i="19"/>
  <c r="E19" i="19"/>
  <c r="E20" i="19"/>
  <c r="E21" i="19"/>
  <c r="E22" i="19"/>
  <c r="E23" i="19"/>
  <c r="E24" i="19"/>
  <c r="E25" i="19"/>
  <c r="E26" i="19"/>
  <c r="E27" i="19"/>
  <c r="E28" i="19"/>
  <c r="E29" i="19"/>
  <c r="E30" i="19"/>
  <c r="E31" i="19"/>
  <c r="E32" i="19"/>
  <c r="E33" i="19"/>
  <c r="E34" i="19"/>
  <c r="E35" i="19"/>
  <c r="E36" i="19"/>
  <c r="E37" i="19"/>
  <c r="E38" i="19"/>
  <c r="E39" i="19"/>
  <c r="E40" i="19"/>
  <c r="E41" i="19"/>
  <c r="E42" i="19"/>
  <c r="E43" i="19"/>
  <c r="E2" i="19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2" i="7"/>
  <c r="E3" i="7"/>
  <c r="E4" i="7"/>
  <c r="E5" i="7"/>
  <c r="E6" i="7"/>
  <c r="E7" i="7"/>
  <c r="E8" i="7"/>
  <c r="E9" i="7"/>
  <c r="E10" i="7"/>
  <c r="E11" i="7"/>
  <c r="E12" i="7"/>
  <c r="E13" i="7"/>
  <c r="E14" i="7"/>
  <c r="E15" i="7"/>
  <c r="E16" i="7"/>
  <c r="E17" i="7"/>
  <c r="E18" i="7"/>
  <c r="E19" i="7"/>
  <c r="E20" i="7"/>
  <c r="E21" i="7"/>
  <c r="E22" i="7"/>
  <c r="E23" i="7"/>
  <c r="E24" i="7"/>
  <c r="E25" i="7"/>
  <c r="E26" i="7"/>
  <c r="E27" i="7"/>
  <c r="E28" i="7"/>
  <c r="E29" i="7"/>
  <c r="E30" i="7"/>
  <c r="E31" i="7"/>
  <c r="E32" i="7"/>
  <c r="E33" i="7"/>
  <c r="E34" i="7"/>
  <c r="E35" i="7"/>
  <c r="E36" i="7"/>
  <c r="E37" i="7"/>
  <c r="E38" i="7"/>
  <c r="E39" i="7"/>
  <c r="E40" i="7"/>
  <c r="E41" i="7"/>
  <c r="E42" i="7"/>
  <c r="E43" i="7"/>
  <c r="E2" i="7"/>
  <c r="Q6" i="21" l="1"/>
  <c r="T6" i="21" s="1" a="1"/>
  <c r="Q2" i="19" a="1"/>
  <c r="O2" i="7" a="1"/>
  <c r="O2" i="7" s="1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I6" i="6"/>
  <c r="E6" i="6"/>
  <c r="I3" i="6" s="1"/>
  <c r="E5" i="6"/>
  <c r="I4" i="6"/>
  <c r="E4" i="6"/>
  <c r="I5" i="6" s="1"/>
  <c r="E3" i="6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I6" i="5" s="1"/>
  <c r="E8" i="5"/>
  <c r="E7" i="5"/>
  <c r="E6" i="5"/>
  <c r="E5" i="5"/>
  <c r="E4" i="5"/>
  <c r="I5" i="5" s="1"/>
  <c r="I3" i="5"/>
  <c r="E3" i="5"/>
  <c r="I4" i="5" s="1"/>
  <c r="F5" i="4"/>
  <c r="F7" i="4"/>
  <c r="F8" i="4" s="1"/>
  <c r="F9" i="4" s="1"/>
  <c r="F10" i="4" s="1"/>
  <c r="K5" i="4"/>
  <c r="K2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G37" i="4" s="1"/>
  <c r="G36" i="4" s="1"/>
  <c r="G35" i="4" s="1"/>
  <c r="G34" i="4" s="1"/>
  <c r="G33" i="4" s="1"/>
  <c r="G32" i="4" s="1"/>
  <c r="G31" i="4" s="1"/>
  <c r="G30" i="4" s="1"/>
  <c r="G29" i="4" s="1"/>
  <c r="G28" i="4" s="1"/>
  <c r="G27" i="4" s="1"/>
  <c r="G26" i="4" s="1"/>
  <c r="G25" i="4" s="1"/>
  <c r="G24" i="4" s="1"/>
  <c r="G23" i="4" s="1"/>
  <c r="G22" i="4" s="1"/>
  <c r="G21" i="4" s="1"/>
  <c r="G20" i="4" s="1"/>
  <c r="G19" i="4" s="1"/>
  <c r="G18" i="4" s="1"/>
  <c r="G17" i="4" s="1"/>
  <c r="G16" i="4" s="1"/>
  <c r="G15" i="4" s="1"/>
  <c r="G14" i="4" s="1"/>
  <c r="G13" i="4" s="1"/>
  <c r="G12" i="4" s="1"/>
  <c r="G11" i="4" s="1"/>
  <c r="G10" i="4" s="1"/>
  <c r="G9" i="4" s="1"/>
  <c r="G8" i="4" s="1"/>
  <c r="G7" i="4" s="1"/>
  <c r="G6" i="4" s="1"/>
  <c r="G5" i="4" s="1"/>
  <c r="G4" i="4" s="1"/>
  <c r="G3" i="4" s="1"/>
  <c r="G2" i="4" s="1"/>
  <c r="E39" i="4"/>
  <c r="G39" i="4" s="1"/>
  <c r="E40" i="4"/>
  <c r="E41" i="4"/>
  <c r="E42" i="4"/>
  <c r="E43" i="4"/>
  <c r="E3" i="4"/>
  <c r="T6" i="21" l="1"/>
  <c r="S10" i="21" a="1"/>
  <c r="Q2" i="19"/>
  <c r="Q10" i="19" s="1" a="1"/>
  <c r="Q10" i="19" s="1"/>
  <c r="O10" i="7" a="1"/>
  <c r="O10" i="7" s="1"/>
  <c r="O6" i="7" a="1"/>
  <c r="F11" i="4"/>
  <c r="F12" i="4" s="1"/>
  <c r="F13" i="4" s="1"/>
  <c r="F14" i="4" s="1"/>
  <c r="F15" i="4" s="1"/>
  <c r="F16" i="4" s="1"/>
  <c r="F17" i="4" s="1"/>
  <c r="F18" i="4" s="1"/>
  <c r="F19" i="4" s="1"/>
  <c r="F20" i="4" s="1"/>
  <c r="F21" i="4" s="1"/>
  <c r="F22" i="4" s="1"/>
  <c r="F23" i="4" s="1"/>
  <c r="F24" i="4" s="1"/>
  <c r="F25" i="4" s="1"/>
  <c r="F26" i="4" s="1"/>
  <c r="F27" i="4" s="1"/>
  <c r="F28" i="4" s="1"/>
  <c r="F29" i="4" s="1"/>
  <c r="F30" i="4" s="1"/>
  <c r="F31" i="4" s="1"/>
  <c r="F32" i="4" s="1"/>
  <c r="F33" i="4" s="1"/>
  <c r="F34" i="4" s="1"/>
  <c r="F35" i="4" s="1"/>
  <c r="F36" i="4" s="1"/>
  <c r="F37" i="4" s="1"/>
  <c r="F38" i="4" s="1"/>
  <c r="F39" i="4" s="1"/>
  <c r="F40" i="4" s="1"/>
  <c r="F41" i="4" s="1"/>
  <c r="F42" i="4" s="1"/>
  <c r="F43" i="4" s="1"/>
  <c r="F4" i="4"/>
  <c r="F3" i="4" s="1"/>
  <c r="F2" i="4" s="1"/>
  <c r="I8" i="6"/>
  <c r="J3" i="6" s="1"/>
  <c r="J5" i="6"/>
  <c r="F20" i="6" s="1"/>
  <c r="J4" i="6"/>
  <c r="F31" i="6" s="1"/>
  <c r="I8" i="5"/>
  <c r="J3" i="5" s="1"/>
  <c r="G40" i="4"/>
  <c r="G41" i="4" s="1"/>
  <c r="G42" i="4" s="1"/>
  <c r="G43" i="4" s="1"/>
  <c r="K3" i="4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3" i="1"/>
  <c r="S10" i="21" l="1"/>
  <c r="R26" i="21"/>
  <c r="Q6" i="19" a="1"/>
  <c r="O6" i="7"/>
  <c r="R6" i="7" a="1"/>
  <c r="J6" i="6"/>
  <c r="J8" i="6" s="1"/>
  <c r="F11" i="6"/>
  <c r="J5" i="5"/>
  <c r="F8" i="5" s="1"/>
  <c r="F18" i="6"/>
  <c r="F22" i="6"/>
  <c r="F42" i="6"/>
  <c r="F10" i="6"/>
  <c r="F26" i="6"/>
  <c r="F34" i="6"/>
  <c r="F30" i="6"/>
  <c r="F6" i="6"/>
  <c r="F14" i="6"/>
  <c r="F38" i="6"/>
  <c r="F28" i="6"/>
  <c r="F21" i="6"/>
  <c r="F32" i="6"/>
  <c r="F41" i="6"/>
  <c r="F12" i="6"/>
  <c r="F37" i="6"/>
  <c r="F25" i="6"/>
  <c r="F5" i="6"/>
  <c r="F24" i="6"/>
  <c r="F35" i="6"/>
  <c r="F16" i="6"/>
  <c r="F27" i="6"/>
  <c r="F7" i="6"/>
  <c r="F39" i="6"/>
  <c r="F40" i="6"/>
  <c r="F36" i="6"/>
  <c r="F33" i="6"/>
  <c r="F9" i="6"/>
  <c r="F4" i="6"/>
  <c r="F43" i="6"/>
  <c r="F8" i="6"/>
  <c r="F3" i="6"/>
  <c r="F15" i="6"/>
  <c r="F19" i="6"/>
  <c r="F23" i="6"/>
  <c r="F30" i="5"/>
  <c r="F6" i="5"/>
  <c r="F26" i="5"/>
  <c r="F18" i="5"/>
  <c r="F14" i="5"/>
  <c r="F10" i="5"/>
  <c r="F38" i="5"/>
  <c r="F34" i="5"/>
  <c r="F22" i="5"/>
  <c r="F42" i="5"/>
  <c r="F28" i="5"/>
  <c r="F24" i="5"/>
  <c r="F4" i="5"/>
  <c r="F20" i="5"/>
  <c r="F32" i="5"/>
  <c r="F16" i="5"/>
  <c r="F36" i="5"/>
  <c r="F12" i="5"/>
  <c r="F40" i="5"/>
  <c r="J4" i="5"/>
  <c r="J8" i="5" s="1"/>
  <c r="J6" i="5"/>
  <c r="K6" i="4"/>
  <c r="I3" i="1"/>
  <c r="I6" i="1"/>
  <c r="I4" i="1"/>
  <c r="I5" i="1"/>
  <c r="R25" i="21" l="1"/>
  <c r="Q6" i="19"/>
  <c r="T6" i="19" a="1"/>
  <c r="R6" i="7"/>
  <c r="Q10" i="7" s="1" a="1"/>
  <c r="P26" i="7" s="1"/>
  <c r="F17" i="6"/>
  <c r="F29" i="6"/>
  <c r="F13" i="6"/>
  <c r="F9" i="5"/>
  <c r="F5" i="5"/>
  <c r="F13" i="5"/>
  <c r="F33" i="5"/>
  <c r="F25" i="5"/>
  <c r="F17" i="5"/>
  <c r="F29" i="5"/>
  <c r="F21" i="5"/>
  <c r="F37" i="5"/>
  <c r="F41" i="5"/>
  <c r="F7" i="5"/>
  <c r="F3" i="5"/>
  <c r="F15" i="5"/>
  <c r="F27" i="5"/>
  <c r="F35" i="5"/>
  <c r="F23" i="5"/>
  <c r="F39" i="5"/>
  <c r="F11" i="5"/>
  <c r="F31" i="5"/>
  <c r="F19" i="5"/>
  <c r="F43" i="5"/>
  <c r="I8" i="1"/>
  <c r="J5" i="1" s="1"/>
  <c r="Q14" i="21" l="1"/>
  <c r="S14" i="21" s="1"/>
  <c r="T6" i="19"/>
  <c r="S10" i="19" a="1"/>
  <c r="Q10" i="7"/>
  <c r="P25" i="7" s="1"/>
  <c r="J6" i="1"/>
  <c r="J4" i="1"/>
  <c r="F32" i="1"/>
  <c r="F40" i="1"/>
  <c r="F4" i="1"/>
  <c r="F24" i="1"/>
  <c r="F16" i="1"/>
  <c r="F36" i="1"/>
  <c r="F28" i="1"/>
  <c r="F20" i="1"/>
  <c r="F12" i="1"/>
  <c r="F8" i="1"/>
  <c r="J3" i="1"/>
  <c r="R18" i="21" l="1"/>
  <c r="R22" i="21" s="1"/>
  <c r="S26" i="21" s="1"/>
  <c r="T26" i="21" s="1"/>
  <c r="U26" i="21" s="1"/>
  <c r="Q18" i="21"/>
  <c r="Q22" i="21" s="1"/>
  <c r="Q17" i="21"/>
  <c r="Q21" i="21" s="1"/>
  <c r="S25" i="21" s="1"/>
  <c r="T25" i="21" s="1"/>
  <c r="U25" i="21" s="1"/>
  <c r="R17" i="21"/>
  <c r="R21" i="21" s="1"/>
  <c r="S10" i="19"/>
  <c r="R26" i="19"/>
  <c r="J26" i="7"/>
  <c r="L26" i="7" s="1"/>
  <c r="J13" i="7"/>
  <c r="L13" i="7" s="1"/>
  <c r="J28" i="7"/>
  <c r="L28" i="7" s="1"/>
  <c r="J22" i="7"/>
  <c r="L22" i="7" s="1"/>
  <c r="J36" i="7"/>
  <c r="L36" i="7" s="1"/>
  <c r="J18" i="7"/>
  <c r="L18" i="7" s="1"/>
  <c r="J17" i="7"/>
  <c r="L17" i="7" s="1"/>
  <c r="J43" i="7"/>
  <c r="L43" i="7" s="1"/>
  <c r="J4" i="7"/>
  <c r="L4" i="7" s="1"/>
  <c r="J23" i="7"/>
  <c r="L23" i="7" s="1"/>
  <c r="J30" i="7"/>
  <c r="L30" i="7" s="1"/>
  <c r="J38" i="7"/>
  <c r="L38" i="7" s="1"/>
  <c r="J11" i="7"/>
  <c r="L11" i="7" s="1"/>
  <c r="J20" i="7"/>
  <c r="L20" i="7" s="1"/>
  <c r="J10" i="7"/>
  <c r="L10" i="7" s="1"/>
  <c r="J12" i="7"/>
  <c r="L12" i="7" s="1"/>
  <c r="J32" i="7"/>
  <c r="L32" i="7" s="1"/>
  <c r="J14" i="7"/>
  <c r="L14" i="7" s="1"/>
  <c r="J29" i="7"/>
  <c r="L29" i="7" s="1"/>
  <c r="J37" i="7"/>
  <c r="L37" i="7" s="1"/>
  <c r="J9" i="7"/>
  <c r="L9" i="7" s="1"/>
  <c r="J3" i="7"/>
  <c r="L3" i="7" s="1"/>
  <c r="J8" i="7"/>
  <c r="L8" i="7" s="1"/>
  <c r="J31" i="7"/>
  <c r="L31" i="7" s="1"/>
  <c r="J41" i="7"/>
  <c r="L41" i="7" s="1"/>
  <c r="J21" i="7"/>
  <c r="L21" i="7" s="1"/>
  <c r="J33" i="7"/>
  <c r="L33" i="7" s="1"/>
  <c r="J7" i="7"/>
  <c r="L7" i="7" s="1"/>
  <c r="J15" i="7"/>
  <c r="L15" i="7" s="1"/>
  <c r="J25" i="7"/>
  <c r="L25" i="7" s="1"/>
  <c r="J2" i="7"/>
  <c r="L2" i="7" s="1"/>
  <c r="J6" i="7"/>
  <c r="L6" i="7" s="1"/>
  <c r="J40" i="7"/>
  <c r="L40" i="7" s="1"/>
  <c r="J35" i="7"/>
  <c r="L35" i="7" s="1"/>
  <c r="J16" i="7"/>
  <c r="L16" i="7" s="1"/>
  <c r="J19" i="7"/>
  <c r="L19" i="7" s="1"/>
  <c r="J5" i="7"/>
  <c r="L5" i="7" s="1"/>
  <c r="J24" i="7"/>
  <c r="L24" i="7" s="1"/>
  <c r="J27" i="7"/>
  <c r="L27" i="7" s="1"/>
  <c r="J39" i="7"/>
  <c r="L39" i="7" s="1"/>
  <c r="J42" i="7"/>
  <c r="L42" i="7" s="1"/>
  <c r="J34" i="7"/>
  <c r="L34" i="7" s="1"/>
  <c r="F11" i="1"/>
  <c r="F19" i="1"/>
  <c r="F15" i="1"/>
  <c r="F31" i="1"/>
  <c r="F3" i="1"/>
  <c r="F39" i="1"/>
  <c r="F23" i="1"/>
  <c r="F43" i="1"/>
  <c r="F27" i="1"/>
  <c r="F7" i="1"/>
  <c r="F35" i="1"/>
  <c r="J8" i="1"/>
  <c r="F42" i="1"/>
  <c r="F26" i="1"/>
  <c r="F10" i="1"/>
  <c r="F22" i="1"/>
  <c r="F30" i="1"/>
  <c r="F6" i="1"/>
  <c r="F38" i="1"/>
  <c r="F34" i="1"/>
  <c r="F14" i="1"/>
  <c r="F18" i="1"/>
  <c r="F29" i="1"/>
  <c r="F21" i="1"/>
  <c r="F41" i="1"/>
  <c r="F13" i="1"/>
  <c r="F5" i="1"/>
  <c r="F9" i="1"/>
  <c r="F33" i="1"/>
  <c r="F17" i="1"/>
  <c r="F37" i="1"/>
  <c r="F25" i="1"/>
  <c r="J3" i="19" l="1"/>
  <c r="L3" i="19" s="1"/>
  <c r="N3" i="19" s="1"/>
  <c r="J11" i="19"/>
  <c r="L11" i="19" s="1"/>
  <c r="N11" i="19" s="1"/>
  <c r="J19" i="19"/>
  <c r="L19" i="19" s="1"/>
  <c r="N19" i="19" s="1"/>
  <c r="J27" i="19"/>
  <c r="L27" i="19" s="1"/>
  <c r="N27" i="19" s="1"/>
  <c r="J35" i="19"/>
  <c r="L35" i="19" s="1"/>
  <c r="N35" i="19" s="1"/>
  <c r="J43" i="19"/>
  <c r="L43" i="19" s="1"/>
  <c r="N43" i="19" s="1"/>
  <c r="J14" i="19"/>
  <c r="L14" i="19" s="1"/>
  <c r="N14" i="19" s="1"/>
  <c r="J38" i="19"/>
  <c r="L38" i="19" s="1"/>
  <c r="N38" i="19" s="1"/>
  <c r="J7" i="19"/>
  <c r="L7" i="19" s="1"/>
  <c r="N7" i="19" s="1"/>
  <c r="J39" i="19"/>
  <c r="L39" i="19" s="1"/>
  <c r="N39" i="19" s="1"/>
  <c r="J4" i="19"/>
  <c r="L4" i="19" s="1"/>
  <c r="N4" i="19" s="1"/>
  <c r="J12" i="19"/>
  <c r="L12" i="19" s="1"/>
  <c r="N12" i="19" s="1"/>
  <c r="J20" i="19"/>
  <c r="L20" i="19" s="1"/>
  <c r="N20" i="19" s="1"/>
  <c r="J28" i="19"/>
  <c r="L28" i="19" s="1"/>
  <c r="N28" i="19" s="1"/>
  <c r="J36" i="19"/>
  <c r="L36" i="19" s="1"/>
  <c r="N36" i="19" s="1"/>
  <c r="J2" i="19"/>
  <c r="L2" i="19" s="1"/>
  <c r="J6" i="19"/>
  <c r="L6" i="19" s="1"/>
  <c r="N6" i="19" s="1"/>
  <c r="J30" i="19"/>
  <c r="L30" i="19" s="1"/>
  <c r="N30" i="19" s="1"/>
  <c r="J23" i="19"/>
  <c r="L23" i="19" s="1"/>
  <c r="N23" i="19" s="1"/>
  <c r="J34" i="19"/>
  <c r="L34" i="19" s="1"/>
  <c r="N34" i="19" s="1"/>
  <c r="J5" i="19"/>
  <c r="L5" i="19" s="1"/>
  <c r="N5" i="19" s="1"/>
  <c r="J13" i="19"/>
  <c r="L13" i="19" s="1"/>
  <c r="N13" i="19" s="1"/>
  <c r="J21" i="19"/>
  <c r="L21" i="19" s="1"/>
  <c r="N21" i="19" s="1"/>
  <c r="J29" i="19"/>
  <c r="L29" i="19" s="1"/>
  <c r="N29" i="19" s="1"/>
  <c r="J37" i="19"/>
  <c r="L37" i="19" s="1"/>
  <c r="N37" i="19" s="1"/>
  <c r="J22" i="19"/>
  <c r="L22" i="19" s="1"/>
  <c r="N22" i="19" s="1"/>
  <c r="J15" i="19"/>
  <c r="L15" i="19" s="1"/>
  <c r="N15" i="19" s="1"/>
  <c r="J31" i="19"/>
  <c r="L31" i="19" s="1"/>
  <c r="N31" i="19" s="1"/>
  <c r="J18" i="19"/>
  <c r="L18" i="19" s="1"/>
  <c r="N18" i="19" s="1"/>
  <c r="J8" i="19"/>
  <c r="L8" i="19" s="1"/>
  <c r="N8" i="19" s="1"/>
  <c r="J16" i="19"/>
  <c r="L16" i="19" s="1"/>
  <c r="N16" i="19" s="1"/>
  <c r="J24" i="19"/>
  <c r="L24" i="19" s="1"/>
  <c r="N24" i="19" s="1"/>
  <c r="J32" i="19"/>
  <c r="L32" i="19" s="1"/>
  <c r="N32" i="19" s="1"/>
  <c r="J40" i="19"/>
  <c r="L40" i="19" s="1"/>
  <c r="N40" i="19" s="1"/>
  <c r="J9" i="19"/>
  <c r="L9" i="19" s="1"/>
  <c r="N9" i="19" s="1"/>
  <c r="J17" i="19"/>
  <c r="L17" i="19" s="1"/>
  <c r="N17" i="19" s="1"/>
  <c r="J25" i="19"/>
  <c r="L25" i="19" s="1"/>
  <c r="N25" i="19" s="1"/>
  <c r="J33" i="19"/>
  <c r="L33" i="19" s="1"/>
  <c r="N33" i="19" s="1"/>
  <c r="J41" i="19"/>
  <c r="L41" i="19" s="1"/>
  <c r="N41" i="19" s="1"/>
  <c r="J10" i="19"/>
  <c r="L10" i="19" s="1"/>
  <c r="N10" i="19" s="1"/>
  <c r="J26" i="19"/>
  <c r="L26" i="19" s="1"/>
  <c r="N26" i="19" s="1"/>
  <c r="J42" i="19"/>
  <c r="L42" i="19" s="1"/>
  <c r="N42" i="19" s="1"/>
  <c r="R25" i="19"/>
  <c r="O14" i="7"/>
  <c r="Q14" i="7" s="1"/>
  <c r="O18" i="7" s="1"/>
  <c r="O22" i="7" s="1"/>
  <c r="Q14" i="19" l="1"/>
  <c r="S14" i="19" s="1"/>
  <c r="P17" i="7"/>
  <c r="P21" i="7" s="1"/>
  <c r="O17" i="7"/>
  <c r="O21" i="7" s="1"/>
  <c r="Q25" i="7" s="1"/>
  <c r="R25" i="7" s="1"/>
  <c r="S25" i="7" s="1"/>
  <c r="P18" i="7"/>
  <c r="P22" i="7" s="1"/>
  <c r="Q26" i="7" s="1"/>
  <c r="R26" i="7" s="1"/>
  <c r="S26" i="7" s="1"/>
  <c r="Q18" i="19" l="1"/>
  <c r="Q22" i="19" s="1"/>
  <c r="R18" i="19"/>
  <c r="R22" i="19" s="1"/>
  <c r="S26" i="19" s="1"/>
  <c r="T26" i="19" s="1"/>
  <c r="U26" i="19" s="1"/>
  <c r="R17" i="19"/>
  <c r="R21" i="19" s="1"/>
  <c r="Q17" i="19"/>
  <c r="Q21" i="19" s="1"/>
  <c r="S25" i="19" s="1"/>
  <c r="T25" i="19" s="1"/>
  <c r="U25" i="19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872343D-76EF-F443-A16E-E2774FAA775F}" keepAlive="1" name="Query - Sheet 1" description="Connection to the 'Sheet 1' query in the workbook." type="5" refreshedVersion="0" background="1">
    <dbPr connection="Provider=Microsoft.Mashup.OleDb.1;Data Source=$Workbook$;Location=&quot;Sheet 1&quot;;Extended Properties=&quot;&quot;" command="SELECT * FROM [Sheet 1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<sst xmlns="http://schemas.openxmlformats.org/spreadsheetml/2006/main" count="369" uniqueCount="114">
  <si>
    <t>2015-Q1</t>
  </si>
  <si>
    <t>2015-Q2</t>
  </si>
  <si>
    <t>2015-Q3</t>
  </si>
  <si>
    <t>2015-Q4</t>
  </si>
  <si>
    <t>2016-Q1</t>
  </si>
  <si>
    <t>2016-Q2</t>
  </si>
  <si>
    <t>2016-Q3</t>
  </si>
  <si>
    <t>2016-Q4</t>
  </si>
  <si>
    <t>2017-Q1</t>
  </si>
  <si>
    <t>2017-Q2</t>
  </si>
  <si>
    <t>2017-Q3</t>
  </si>
  <si>
    <t>2017-Q4</t>
  </si>
  <si>
    <t>2018-Q1</t>
  </si>
  <si>
    <t>2018-Q2</t>
  </si>
  <si>
    <t>2018-Q3</t>
  </si>
  <si>
    <t>2018-Q4</t>
  </si>
  <si>
    <t>2019-Q1</t>
  </si>
  <si>
    <t>2019-Q2</t>
  </si>
  <si>
    <t>2019-Q3</t>
  </si>
  <si>
    <t>2019-Q4</t>
  </si>
  <si>
    <t>2020-Q1</t>
  </si>
  <si>
    <t>2020-Q2</t>
  </si>
  <si>
    <t>2020-Q3</t>
  </si>
  <si>
    <t>2020-Q4</t>
  </si>
  <si>
    <t>2021-Q1</t>
  </si>
  <si>
    <t>2021-Q2</t>
  </si>
  <si>
    <t>2021-Q3</t>
  </si>
  <si>
    <t>2021-Q4</t>
  </si>
  <si>
    <t>2022-Q1</t>
  </si>
  <si>
    <t>2022-Q2</t>
  </si>
  <si>
    <t>2022-Q3</t>
  </si>
  <si>
    <t>2022-Q4</t>
  </si>
  <si>
    <t>2023-Q1</t>
  </si>
  <si>
    <t>2023-Q2</t>
  </si>
  <si>
    <t>2023-Q3</t>
  </si>
  <si>
    <t>2023-Q4</t>
  </si>
  <si>
    <t>2024-Q1</t>
  </si>
  <si>
    <t>2024-Q2</t>
  </si>
  <si>
    <t>2024-Q3</t>
  </si>
  <si>
    <t>2024-Q4</t>
  </si>
  <si>
    <t>2025-Q1</t>
  </si>
  <si>
    <t>2025-Q2</t>
  </si>
  <si>
    <t>gva</t>
  </si>
  <si>
    <t>year</t>
  </si>
  <si>
    <t>quarter</t>
  </si>
  <si>
    <t>gva_{t} - gva_{t-1}</t>
  </si>
  <si>
    <t>indicators</t>
  </si>
  <si>
    <t>raw</t>
  </si>
  <si>
    <t>cleaned</t>
  </si>
  <si>
    <t>average</t>
  </si>
  <si>
    <t>t</t>
  </si>
  <si>
    <t>(gva_{t} - gva_{t-1})-indicatorsCleaned_{q}</t>
  </si>
  <si>
    <t>chainIndex</t>
  </si>
  <si>
    <t>gvaConst2020</t>
  </si>
  <si>
    <t>Netherlands GVA in current prices in 2024</t>
  </si>
  <si>
    <t>Netherlands GVA in current prices in 2016</t>
  </si>
  <si>
    <t>gva_{2024} - \sum_{q=2024-Q1}^{2024-Q4}{gvaConst2020InConst2024_{q}}</t>
  </si>
  <si>
    <t>gva_{2016} - \sum_{q=2016-Q1}^{2016-Q4}{gvaConst2020InCont2016_{q}}</t>
  </si>
  <si>
    <t>gvaConst2020InConst2016</t>
  </si>
  <si>
    <t>gvaConst2020InConst2024</t>
  </si>
  <si>
    <t>X</t>
  </si>
  <si>
    <t>Y</t>
  </si>
  <si>
    <t>X^{T}</t>
  </si>
  <si>
    <t>X^{T}X</t>
  </si>
  <si>
    <t>(X^{T}X)^{-1}</t>
  </si>
  <si>
    <t>X^{T}Y</t>
  </si>
  <si>
    <t>(X^{T}X)^{-1}(X^{T}Y)</t>
  </si>
  <si>
    <t>\hat{Y}</t>
  </si>
  <si>
    <t>i</t>
  </si>
  <si>
    <t>\beta{i}</t>
  </si>
  <si>
    <t>SE_{\beta_{i}}</t>
  </si>
  <si>
    <t>t-statistics</t>
  </si>
  <si>
    <t>p-value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</si>
  <si>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</si>
  <si>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</si>
  <si>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</si>
  <si>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</si>
  <si>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</si>
  <si>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</si>
  <si>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</si>
  <si>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</si>
  <si>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</si>
  <si>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</si>
  <si>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Total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</si>
  <si>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</si>
  <si>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</si>
  <si>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</si>
  <si>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</si>
  <si>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</si>
  <si>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</si>
  <si>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</si>
  <si>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</si>
  <si>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</si>
  <si>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</si>
  <si>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</si>
  <si>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95,0%</t>
  </si>
  <si>
    <t>Upper 95,0%</t>
  </si>
  <si>
    <t>X Variable 1</t>
  </si>
  <si>
    <t>r = (\hat{Y}-Y)^{2}</t>
  </si>
  <si>
    <t>\sum_{t=1}^{n}{r_{t}}</t>
  </si>
  <si>
    <t>\sum_{t=1}^{n}{r_{t}} / (n-2)</t>
  </si>
  <si>
    <t>(\sum_{t=1}^{n}{r_{t}} / (n-2))(X^{T}X)^{-1}</t>
  </si>
  <si>
    <t>\sqrt{(\sum_{t=1}^{n}{r_{t}} / (n-2))(X^{T}X)^{-1}}</t>
  </si>
  <si>
    <t>Value represents \beta_{0}</t>
  </si>
  <si>
    <t>Value represents \beta_{1}</t>
  </si>
  <si>
    <t>Values represents SE_{\beta_{0}}</t>
  </si>
  <si>
    <t>Values represents SE_{\beta_{1}}</t>
  </si>
  <si>
    <t>GVA</t>
  </si>
  <si>
    <t>T</t>
  </si>
  <si>
    <t>\ln{\hat{Y}}</t>
  </si>
  <si>
    <t>r = (\ln{\hat{Y}}-Y)^{2}</t>
  </si>
  <si>
    <t>p-value &lt; 5%</t>
  </si>
  <si>
    <t>&lt;-</t>
  </si>
  <si>
    <t>The parameter is statistically significant.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</si>
</sst>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i/>
      <sz val="12"/>
      <color theme="1"/>
      <name val="Aptos Narrow"/>
      <family val="2"/>
      <scheme val="minor"/>
    </font>
    <font>
      <sz val="12"/>
      <color rgb="FF00B050"/>
      <name val="Aptos Narrow"/>
      <family val="2"/>
      <scheme val="minor"/>
    </font>
    <font>
      <sz val="12"/>
      <color theme="1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2" fontId="0" fillId="0" borderId="0" xfId="0" applyNumberFormat="1"/>
    <xf numFmtId="1" fontId="0" fillId="0" borderId="0" xfId="0" applyNumberFormat="1"/>
    <xf numFmtId="0" fontId="1" fillId="0" borderId="0" xfId="0" applyFont="1"/>
    <xf numFmtId="2" fontId="0" fillId="2" borderId="0" xfId="0" applyNumberFormat="1" applyFill="1"/>
    <xf numFmtId="0" fontId="0" fillId="0" borderId="0" xfId="0" applyFill="1" applyBorder="1" applyAlignment="1"/>
    <xf numFmtId="0" fontId="0" fillId="0" borderId="1" xfId="0" applyFill="1" applyBorder="1" applyAlignment="1"/>
    <xf numFmtId="0" fontId="2" fillId="0" borderId="2" xfId="0" applyFont="1" applyFill="1" applyBorder="1" applyAlignment="1">
      <alignment horizontal="center"/>
    </xf>
    <xf numFmtId="0" fontId="2" fillId="0" borderId="2" xfId="0" applyFont="1" applyFill="1" applyBorder="1" applyAlignment="1">
      <alignment horizontal="centerContinuous"/>
    </xf>
    <xf numFmtId="0" fontId="0" fillId="0" borderId="0" xfId="0" applyBorder="1"/>
    <xf numFmtId="0" fontId="0" fillId="0" borderId="3" xfId="0" applyBorder="1"/>
    <xf numFmtId="0" fontId="0" fillId="0" borderId="5" xfId="0" applyBorder="1"/>
    <xf numFmtId="0" fontId="0" fillId="0" borderId="1" xfId="0" applyBorder="1"/>
    <xf numFmtId="0" fontId="1" fillId="0" borderId="7" xfId="0" applyFont="1" applyBorder="1"/>
    <xf numFmtId="0" fontId="1" fillId="0" borderId="2" xfId="0" applyFont="1" applyBorder="1"/>
    <xf numFmtId="0" fontId="1" fillId="0" borderId="8" xfId="0" applyFont="1" applyBorder="1"/>
    <xf numFmtId="0" fontId="3" fillId="0" borderId="4" xfId="0" applyFont="1" applyBorder="1"/>
    <xf numFmtId="0" fontId="3" fillId="0" borderId="6" xfId="0" applyFont="1" applyBorder="1"/>
    <xf numFmtId="0" fontId="4" fillId="0" borderId="0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b="1">
                <a:solidFill>
                  <a:schemeClr val="tx2">
                    <a:lumMod val="90000"/>
                    <a:lumOff val="10000"/>
                  </a:schemeClr>
                </a:solidFill>
              </a:rPr>
              <a:t>Netherlands</a:t>
            </a:r>
            <a:r>
              <a:rPr lang="en-GB" b="1">
                <a:solidFill>
                  <a:schemeClr val="tx1"/>
                </a:solidFill>
              </a:rPr>
              <a:t> Gross Added Value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PL"/>
        </a:p>
      </c:txPr>
    </c:title>
    <c:autoTitleDeleted val="0"/>
    <c:plotArea>
      <c:layout/>
      <c:lineChart>
        <c:grouping val="standard"/>
        <c:varyColors val="0"/>
        <c:ser>
          <c:idx val="3"/>
          <c:order val="0"/>
          <c:tx>
            <c:v>Current GVA</c:v>
          </c:tx>
          <c:spPr>
            <a:ln w="28575" cap="rnd">
              <a:solidFill>
                <a:schemeClr val="tx2">
                  <a:lumMod val="75000"/>
                  <a:lumOff val="2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'01 Removing Trend and Season'!$A$3:$A$43</c:f>
              <c:strCache>
                <c:ptCount val="41"/>
                <c:pt idx="0">
                  <c:v>2015-Q2</c:v>
                </c:pt>
                <c:pt idx="1">
                  <c:v>2015-Q3</c:v>
                </c:pt>
                <c:pt idx="2">
                  <c:v>2015-Q4</c:v>
                </c:pt>
                <c:pt idx="3">
                  <c:v>2016-Q1</c:v>
                </c:pt>
                <c:pt idx="4">
                  <c:v>2016-Q2</c:v>
                </c:pt>
                <c:pt idx="5">
                  <c:v>2016-Q3</c:v>
                </c:pt>
                <c:pt idx="6">
                  <c:v>2016-Q4</c:v>
                </c:pt>
                <c:pt idx="7">
                  <c:v>2017-Q1</c:v>
                </c:pt>
                <c:pt idx="8">
                  <c:v>2017-Q2</c:v>
                </c:pt>
                <c:pt idx="9">
                  <c:v>2017-Q3</c:v>
                </c:pt>
                <c:pt idx="10">
                  <c:v>2017-Q4</c:v>
                </c:pt>
                <c:pt idx="11">
                  <c:v>2018-Q1</c:v>
                </c:pt>
                <c:pt idx="12">
                  <c:v>2018-Q2</c:v>
                </c:pt>
                <c:pt idx="13">
                  <c:v>2018-Q3</c:v>
                </c:pt>
                <c:pt idx="14">
                  <c:v>2018-Q4</c:v>
                </c:pt>
                <c:pt idx="15">
                  <c:v>2019-Q1</c:v>
                </c:pt>
                <c:pt idx="16">
                  <c:v>2019-Q2</c:v>
                </c:pt>
                <c:pt idx="17">
                  <c:v>2019-Q3</c:v>
                </c:pt>
                <c:pt idx="18">
                  <c:v>2019-Q4</c:v>
                </c:pt>
                <c:pt idx="19">
                  <c:v>2020-Q1</c:v>
                </c:pt>
                <c:pt idx="20">
                  <c:v>2020-Q2</c:v>
                </c:pt>
                <c:pt idx="21">
                  <c:v>2020-Q3</c:v>
                </c:pt>
                <c:pt idx="22">
                  <c:v>2020-Q4</c:v>
                </c:pt>
                <c:pt idx="23">
                  <c:v>2021-Q1</c:v>
                </c:pt>
                <c:pt idx="24">
                  <c:v>2021-Q2</c:v>
                </c:pt>
                <c:pt idx="25">
                  <c:v>2021-Q3</c:v>
                </c:pt>
                <c:pt idx="26">
                  <c:v>2021-Q4</c:v>
                </c:pt>
                <c:pt idx="27">
                  <c:v>2022-Q1</c:v>
                </c:pt>
                <c:pt idx="28">
                  <c:v>2022-Q2</c:v>
                </c:pt>
                <c:pt idx="29">
                  <c:v>2022-Q3</c:v>
                </c:pt>
                <c:pt idx="30">
                  <c:v>2022-Q4</c:v>
                </c:pt>
                <c:pt idx="31">
                  <c:v>2023-Q1</c:v>
                </c:pt>
                <c:pt idx="32">
                  <c:v>2023-Q2</c:v>
                </c:pt>
                <c:pt idx="33">
                  <c:v>2023-Q3</c:v>
                </c:pt>
                <c:pt idx="34">
                  <c:v>2023-Q4</c:v>
                </c:pt>
                <c:pt idx="35">
                  <c:v>2024-Q1</c:v>
                </c:pt>
                <c:pt idx="36">
                  <c:v>2024-Q2</c:v>
                </c:pt>
                <c:pt idx="37">
                  <c:v>2024-Q3</c:v>
                </c:pt>
                <c:pt idx="38">
                  <c:v>2024-Q4</c:v>
                </c:pt>
                <c:pt idx="39">
                  <c:v>2025-Q1</c:v>
                </c:pt>
                <c:pt idx="40">
                  <c:v>2025-Q2</c:v>
                </c:pt>
              </c:strCache>
            </c:strRef>
          </c:cat>
          <c:val>
            <c:numRef>
              <c:f>'01 Removing Trend and Season'!$D$3:$D$43</c:f>
              <c:numCache>
                <c:formatCode>0</c:formatCode>
                <c:ptCount val="41"/>
                <c:pt idx="0">
                  <c:v>159663</c:v>
                </c:pt>
                <c:pt idx="1">
                  <c:v>155573</c:v>
                </c:pt>
                <c:pt idx="2">
                  <c:v>161574</c:v>
                </c:pt>
                <c:pt idx="3">
                  <c:v>154922</c:v>
                </c:pt>
                <c:pt idx="4">
                  <c:v>164049</c:v>
                </c:pt>
                <c:pt idx="5">
                  <c:v>159126</c:v>
                </c:pt>
                <c:pt idx="6">
                  <c:v>166215</c:v>
                </c:pt>
                <c:pt idx="7">
                  <c:v>161419</c:v>
                </c:pt>
                <c:pt idx="8">
                  <c:v>171164</c:v>
                </c:pt>
                <c:pt idx="9">
                  <c:v>166103</c:v>
                </c:pt>
                <c:pt idx="10">
                  <c:v>173248</c:v>
                </c:pt>
                <c:pt idx="11">
                  <c:v>170056</c:v>
                </c:pt>
                <c:pt idx="12">
                  <c:v>179008</c:v>
                </c:pt>
                <c:pt idx="13">
                  <c:v>173652</c:v>
                </c:pt>
                <c:pt idx="14">
                  <c:v>180841</c:v>
                </c:pt>
                <c:pt idx="15">
                  <c:v>178780</c:v>
                </c:pt>
                <c:pt idx="16">
                  <c:v>188735</c:v>
                </c:pt>
                <c:pt idx="17">
                  <c:v>182497</c:v>
                </c:pt>
                <c:pt idx="18">
                  <c:v>189496</c:v>
                </c:pt>
                <c:pt idx="19">
                  <c:v>182537</c:v>
                </c:pt>
                <c:pt idx="20">
                  <c:v>175396</c:v>
                </c:pt>
                <c:pt idx="21">
                  <c:v>179815</c:v>
                </c:pt>
                <c:pt idx="22">
                  <c:v>188401</c:v>
                </c:pt>
                <c:pt idx="23">
                  <c:v>183940</c:v>
                </c:pt>
                <c:pt idx="24">
                  <c:v>201433</c:v>
                </c:pt>
                <c:pt idx="25">
                  <c:v>198942</c:v>
                </c:pt>
                <c:pt idx="26">
                  <c:v>207415</c:v>
                </c:pt>
                <c:pt idx="27">
                  <c:v>209214</c:v>
                </c:pt>
                <c:pt idx="28">
                  <c:v>224204</c:v>
                </c:pt>
                <c:pt idx="29">
                  <c:v>221953</c:v>
                </c:pt>
                <c:pt idx="30">
                  <c:v>232803</c:v>
                </c:pt>
                <c:pt idx="31">
                  <c:v>228660</c:v>
                </c:pt>
                <c:pt idx="32">
                  <c:v>239816</c:v>
                </c:pt>
                <c:pt idx="33">
                  <c:v>233082</c:v>
                </c:pt>
                <c:pt idx="34">
                  <c:v>243243</c:v>
                </c:pt>
                <c:pt idx="35">
                  <c:v>241862</c:v>
                </c:pt>
                <c:pt idx="36">
                  <c:v>255757</c:v>
                </c:pt>
                <c:pt idx="37">
                  <c:v>248625</c:v>
                </c:pt>
                <c:pt idx="38">
                  <c:v>261094</c:v>
                </c:pt>
                <c:pt idx="39">
                  <c:v>254235</c:v>
                </c:pt>
                <c:pt idx="40">
                  <c:v>269320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83D-E643-ABBB-CBEBCD318E90}"/>
            </c:ext>
          </c:extLst>
        </c:ser>
        <c:ser>
          <c:idx val="0"/>
          <c:order val="1"/>
          <c:tx>
            <c:v>GVA with No Trend</c:v>
          </c:tx>
          <c:spPr>
            <a:ln w="28575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'01 Removing Trend and Season'!$A$3:$A$43</c:f>
              <c:strCache>
                <c:ptCount val="41"/>
                <c:pt idx="0">
                  <c:v>2015-Q2</c:v>
                </c:pt>
                <c:pt idx="1">
                  <c:v>2015-Q3</c:v>
                </c:pt>
                <c:pt idx="2">
                  <c:v>2015-Q4</c:v>
                </c:pt>
                <c:pt idx="3">
                  <c:v>2016-Q1</c:v>
                </c:pt>
                <c:pt idx="4">
                  <c:v>2016-Q2</c:v>
                </c:pt>
                <c:pt idx="5">
                  <c:v>2016-Q3</c:v>
                </c:pt>
                <c:pt idx="6">
                  <c:v>2016-Q4</c:v>
                </c:pt>
                <c:pt idx="7">
                  <c:v>2017-Q1</c:v>
                </c:pt>
                <c:pt idx="8">
                  <c:v>2017-Q2</c:v>
                </c:pt>
                <c:pt idx="9">
                  <c:v>2017-Q3</c:v>
                </c:pt>
                <c:pt idx="10">
                  <c:v>2017-Q4</c:v>
                </c:pt>
                <c:pt idx="11">
                  <c:v>2018-Q1</c:v>
                </c:pt>
                <c:pt idx="12">
                  <c:v>2018-Q2</c:v>
                </c:pt>
                <c:pt idx="13">
                  <c:v>2018-Q3</c:v>
                </c:pt>
                <c:pt idx="14">
                  <c:v>2018-Q4</c:v>
                </c:pt>
                <c:pt idx="15">
                  <c:v>2019-Q1</c:v>
                </c:pt>
                <c:pt idx="16">
                  <c:v>2019-Q2</c:v>
                </c:pt>
                <c:pt idx="17">
                  <c:v>2019-Q3</c:v>
                </c:pt>
                <c:pt idx="18">
                  <c:v>2019-Q4</c:v>
                </c:pt>
                <c:pt idx="19">
                  <c:v>2020-Q1</c:v>
                </c:pt>
                <c:pt idx="20">
                  <c:v>2020-Q2</c:v>
                </c:pt>
                <c:pt idx="21">
                  <c:v>2020-Q3</c:v>
                </c:pt>
                <c:pt idx="22">
                  <c:v>2020-Q4</c:v>
                </c:pt>
                <c:pt idx="23">
                  <c:v>2021-Q1</c:v>
                </c:pt>
                <c:pt idx="24">
                  <c:v>2021-Q2</c:v>
                </c:pt>
                <c:pt idx="25">
                  <c:v>2021-Q3</c:v>
                </c:pt>
                <c:pt idx="26">
                  <c:v>2021-Q4</c:v>
                </c:pt>
                <c:pt idx="27">
                  <c:v>2022-Q1</c:v>
                </c:pt>
                <c:pt idx="28">
                  <c:v>2022-Q2</c:v>
                </c:pt>
                <c:pt idx="29">
                  <c:v>2022-Q3</c:v>
                </c:pt>
                <c:pt idx="30">
                  <c:v>2022-Q4</c:v>
                </c:pt>
                <c:pt idx="31">
                  <c:v>2023-Q1</c:v>
                </c:pt>
                <c:pt idx="32">
                  <c:v>2023-Q2</c:v>
                </c:pt>
                <c:pt idx="33">
                  <c:v>2023-Q3</c:v>
                </c:pt>
                <c:pt idx="34">
                  <c:v>2023-Q4</c:v>
                </c:pt>
                <c:pt idx="35">
                  <c:v>2024-Q1</c:v>
                </c:pt>
                <c:pt idx="36">
                  <c:v>2024-Q2</c:v>
                </c:pt>
                <c:pt idx="37">
                  <c:v>2024-Q3</c:v>
                </c:pt>
                <c:pt idx="38">
                  <c:v>2024-Q4</c:v>
                </c:pt>
                <c:pt idx="39">
                  <c:v>2025-Q1</c:v>
                </c:pt>
                <c:pt idx="40">
                  <c:v>2025-Q2</c:v>
                </c:pt>
              </c:strCache>
            </c:strRef>
          </c:cat>
          <c:val>
            <c:numRef>
              <c:f>'01 Removing Trend and Season'!$E$3:$E$43</c:f>
              <c:numCache>
                <c:formatCode>0</c:formatCode>
                <c:ptCount val="41"/>
                <c:pt idx="0">
                  <c:v>8847</c:v>
                </c:pt>
                <c:pt idx="1">
                  <c:v>-4090</c:v>
                </c:pt>
                <c:pt idx="2">
                  <c:v>6001</c:v>
                </c:pt>
                <c:pt idx="3">
                  <c:v>-6652</c:v>
                </c:pt>
                <c:pt idx="4">
                  <c:v>9127</c:v>
                </c:pt>
                <c:pt idx="5">
                  <c:v>-4923</c:v>
                </c:pt>
                <c:pt idx="6">
                  <c:v>7089</c:v>
                </c:pt>
                <c:pt idx="7">
                  <c:v>-4796</c:v>
                </c:pt>
                <c:pt idx="8">
                  <c:v>9745</c:v>
                </c:pt>
                <c:pt idx="9">
                  <c:v>-5061</c:v>
                </c:pt>
                <c:pt idx="10">
                  <c:v>7145</c:v>
                </c:pt>
                <c:pt idx="11">
                  <c:v>-3192</c:v>
                </c:pt>
                <c:pt idx="12">
                  <c:v>8952</c:v>
                </c:pt>
                <c:pt idx="13">
                  <c:v>-5356</c:v>
                </c:pt>
                <c:pt idx="14">
                  <c:v>7189</c:v>
                </c:pt>
                <c:pt idx="15">
                  <c:v>-2061</c:v>
                </c:pt>
                <c:pt idx="16">
                  <c:v>9955</c:v>
                </c:pt>
                <c:pt idx="17">
                  <c:v>-6238</c:v>
                </c:pt>
                <c:pt idx="18">
                  <c:v>6999</c:v>
                </c:pt>
                <c:pt idx="19">
                  <c:v>-6959</c:v>
                </c:pt>
                <c:pt idx="20">
                  <c:v>-7141</c:v>
                </c:pt>
                <c:pt idx="21">
                  <c:v>4419</c:v>
                </c:pt>
                <c:pt idx="22">
                  <c:v>8586</c:v>
                </c:pt>
                <c:pt idx="23">
                  <c:v>-4461</c:v>
                </c:pt>
                <c:pt idx="24">
                  <c:v>17493</c:v>
                </c:pt>
                <c:pt idx="25">
                  <c:v>-2491</c:v>
                </c:pt>
                <c:pt idx="26">
                  <c:v>8473</c:v>
                </c:pt>
                <c:pt idx="27">
                  <c:v>1799</c:v>
                </c:pt>
                <c:pt idx="28">
                  <c:v>14990</c:v>
                </c:pt>
                <c:pt idx="29">
                  <c:v>-2251</c:v>
                </c:pt>
                <c:pt idx="30">
                  <c:v>10850</c:v>
                </c:pt>
                <c:pt idx="31">
                  <c:v>-4143</c:v>
                </c:pt>
                <c:pt idx="32">
                  <c:v>11156</c:v>
                </c:pt>
                <c:pt idx="33">
                  <c:v>-6734</c:v>
                </c:pt>
                <c:pt idx="34">
                  <c:v>10161</c:v>
                </c:pt>
                <c:pt idx="35">
                  <c:v>-1381</c:v>
                </c:pt>
                <c:pt idx="36">
                  <c:v>13895</c:v>
                </c:pt>
                <c:pt idx="37">
                  <c:v>-7132</c:v>
                </c:pt>
                <c:pt idx="38">
                  <c:v>12469</c:v>
                </c:pt>
                <c:pt idx="39">
                  <c:v>-6859</c:v>
                </c:pt>
                <c:pt idx="40">
                  <c:v>15085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83D-E643-ABBB-CBEBCD318E90}"/>
            </c:ext>
          </c:extLst>
        </c:ser>
        <c:ser>
          <c:idx val="1"/>
          <c:order val="2"/>
          <c:tx>
            <c:v>GVA with No Trend and Seasonality</c:v>
          </c:tx>
          <c:spPr>
            <a:ln w="28575" cap="rnd">
              <a:solidFill>
                <a:schemeClr val="accent3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'01 Removing Trend and Season'!$A$3:$A$43</c:f>
              <c:strCache>
                <c:ptCount val="41"/>
                <c:pt idx="0">
                  <c:v>2015-Q2</c:v>
                </c:pt>
                <c:pt idx="1">
                  <c:v>2015-Q3</c:v>
                </c:pt>
                <c:pt idx="2">
                  <c:v>2015-Q4</c:v>
                </c:pt>
                <c:pt idx="3">
                  <c:v>2016-Q1</c:v>
                </c:pt>
                <c:pt idx="4">
                  <c:v>2016-Q2</c:v>
                </c:pt>
                <c:pt idx="5">
                  <c:v>2016-Q3</c:v>
                </c:pt>
                <c:pt idx="6">
                  <c:v>2016-Q4</c:v>
                </c:pt>
                <c:pt idx="7">
                  <c:v>2017-Q1</c:v>
                </c:pt>
                <c:pt idx="8">
                  <c:v>2017-Q2</c:v>
                </c:pt>
                <c:pt idx="9">
                  <c:v>2017-Q3</c:v>
                </c:pt>
                <c:pt idx="10">
                  <c:v>2017-Q4</c:v>
                </c:pt>
                <c:pt idx="11">
                  <c:v>2018-Q1</c:v>
                </c:pt>
                <c:pt idx="12">
                  <c:v>2018-Q2</c:v>
                </c:pt>
                <c:pt idx="13">
                  <c:v>2018-Q3</c:v>
                </c:pt>
                <c:pt idx="14">
                  <c:v>2018-Q4</c:v>
                </c:pt>
                <c:pt idx="15">
                  <c:v>2019-Q1</c:v>
                </c:pt>
                <c:pt idx="16">
                  <c:v>2019-Q2</c:v>
                </c:pt>
                <c:pt idx="17">
                  <c:v>2019-Q3</c:v>
                </c:pt>
                <c:pt idx="18">
                  <c:v>2019-Q4</c:v>
                </c:pt>
                <c:pt idx="19">
                  <c:v>2020-Q1</c:v>
                </c:pt>
                <c:pt idx="20">
                  <c:v>2020-Q2</c:v>
                </c:pt>
                <c:pt idx="21">
                  <c:v>2020-Q3</c:v>
                </c:pt>
                <c:pt idx="22">
                  <c:v>2020-Q4</c:v>
                </c:pt>
                <c:pt idx="23">
                  <c:v>2021-Q1</c:v>
                </c:pt>
                <c:pt idx="24">
                  <c:v>2021-Q2</c:v>
                </c:pt>
                <c:pt idx="25">
                  <c:v>2021-Q3</c:v>
                </c:pt>
                <c:pt idx="26">
                  <c:v>2021-Q4</c:v>
                </c:pt>
                <c:pt idx="27">
                  <c:v>2022-Q1</c:v>
                </c:pt>
                <c:pt idx="28">
                  <c:v>2022-Q2</c:v>
                </c:pt>
                <c:pt idx="29">
                  <c:v>2022-Q3</c:v>
                </c:pt>
                <c:pt idx="30">
                  <c:v>2022-Q4</c:v>
                </c:pt>
                <c:pt idx="31">
                  <c:v>2023-Q1</c:v>
                </c:pt>
                <c:pt idx="32">
                  <c:v>2023-Q2</c:v>
                </c:pt>
                <c:pt idx="33">
                  <c:v>2023-Q3</c:v>
                </c:pt>
                <c:pt idx="34">
                  <c:v>2023-Q4</c:v>
                </c:pt>
                <c:pt idx="35">
                  <c:v>2024-Q1</c:v>
                </c:pt>
                <c:pt idx="36">
                  <c:v>2024-Q2</c:v>
                </c:pt>
                <c:pt idx="37">
                  <c:v>2024-Q3</c:v>
                </c:pt>
                <c:pt idx="38">
                  <c:v>2024-Q4</c:v>
                </c:pt>
                <c:pt idx="39">
                  <c:v>2025-Q1</c:v>
                </c:pt>
                <c:pt idx="40">
                  <c:v>2025-Q2</c:v>
                </c:pt>
              </c:strCache>
            </c:strRef>
          </c:cat>
          <c:val>
            <c:numRef>
              <c:f>'01 Removing Trend and Season'!$F$3:$F$43</c:f>
              <c:numCache>
                <c:formatCode>0.00</c:formatCode>
                <c:ptCount val="41"/>
                <c:pt idx="0">
                  <c:v>1363.545454545454</c:v>
                </c:pt>
                <c:pt idx="1">
                  <c:v>2603.5181818181818</c:v>
                </c:pt>
                <c:pt idx="2">
                  <c:v>212.61818181818126</c:v>
                </c:pt>
                <c:pt idx="3">
                  <c:v>-73.681818181818016</c:v>
                </c:pt>
                <c:pt idx="4">
                  <c:v>1643.545454545454</c:v>
                </c:pt>
                <c:pt idx="5">
                  <c:v>1770.5181818181818</c:v>
                </c:pt>
                <c:pt idx="6">
                  <c:v>1300.6181818181813</c:v>
                </c:pt>
                <c:pt idx="7">
                  <c:v>1782.318181818182</c:v>
                </c:pt>
                <c:pt idx="8">
                  <c:v>2261.545454545454</c:v>
                </c:pt>
                <c:pt idx="9">
                  <c:v>1632.5181818181818</c:v>
                </c:pt>
                <c:pt idx="10">
                  <c:v>1356.6181818181813</c:v>
                </c:pt>
                <c:pt idx="11">
                  <c:v>3386.318181818182</c:v>
                </c:pt>
                <c:pt idx="12">
                  <c:v>1468.545454545454</c:v>
                </c:pt>
                <c:pt idx="13">
                  <c:v>1337.5181818181818</c:v>
                </c:pt>
                <c:pt idx="14">
                  <c:v>1400.6181818181813</c:v>
                </c:pt>
                <c:pt idx="15">
                  <c:v>4517.318181818182</c:v>
                </c:pt>
                <c:pt idx="16">
                  <c:v>2471.545454545454</c:v>
                </c:pt>
                <c:pt idx="17">
                  <c:v>455.5181818181818</c:v>
                </c:pt>
                <c:pt idx="18">
                  <c:v>1210.6181818181813</c:v>
                </c:pt>
                <c:pt idx="19">
                  <c:v>-380.68181818181802</c:v>
                </c:pt>
                <c:pt idx="20">
                  <c:v>-14624.454545454546</c:v>
                </c:pt>
                <c:pt idx="21">
                  <c:v>11112.518181818181</c:v>
                </c:pt>
                <c:pt idx="22">
                  <c:v>2797.6181818181813</c:v>
                </c:pt>
                <c:pt idx="23">
                  <c:v>2117.318181818182</c:v>
                </c:pt>
                <c:pt idx="24">
                  <c:v>10009.545454545454</c:v>
                </c:pt>
                <c:pt idx="25">
                  <c:v>4202.5181818181818</c:v>
                </c:pt>
                <c:pt idx="26">
                  <c:v>2684.6181818181813</c:v>
                </c:pt>
                <c:pt idx="27">
                  <c:v>8377.318181818182</c:v>
                </c:pt>
                <c:pt idx="28">
                  <c:v>7506.545454545454</c:v>
                </c:pt>
                <c:pt idx="29">
                  <c:v>4442.5181818181818</c:v>
                </c:pt>
                <c:pt idx="30">
                  <c:v>5061.6181818181813</c:v>
                </c:pt>
                <c:pt idx="31">
                  <c:v>2435.318181818182</c:v>
                </c:pt>
                <c:pt idx="32">
                  <c:v>3672.545454545454</c:v>
                </c:pt>
                <c:pt idx="33">
                  <c:v>-40.481818181818198</c:v>
                </c:pt>
                <c:pt idx="34">
                  <c:v>4372.6181818181813</c:v>
                </c:pt>
                <c:pt idx="35">
                  <c:v>5197.318181818182</c:v>
                </c:pt>
                <c:pt idx="36">
                  <c:v>6411.545454545454</c:v>
                </c:pt>
                <c:pt idx="37">
                  <c:v>-438.4818181818182</c:v>
                </c:pt>
                <c:pt idx="38">
                  <c:v>6680.6181818181813</c:v>
                </c:pt>
                <c:pt idx="39">
                  <c:v>-280.68181818181802</c:v>
                </c:pt>
                <c:pt idx="40">
                  <c:v>7601.545454545454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83D-E643-ABBB-CBEBCD318E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30466656"/>
        <c:axId val="1707306528"/>
      </c:lineChart>
      <c:catAx>
        <c:axId val="13304666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0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  <c:crossAx val="1707306528"/>
        <c:crosses val="autoZero"/>
        <c:auto val="1"/>
        <c:lblAlgn val="ctr"/>
        <c:lblOffset val="100"/>
        <c:noMultiLvlLbl val="0"/>
      </c:catAx>
      <c:valAx>
        <c:axId val="170730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\ &quot;PLN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  <c:crossAx val="1330466656"/>
        <c:crossesAt val="1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/>
      </a:pPr>
      <a:endParaRPr lang="en-P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b="1">
                <a:solidFill>
                  <a:schemeClr val="tx2">
                    <a:lumMod val="90000"/>
                    <a:lumOff val="10000"/>
                  </a:schemeClr>
                </a:solidFill>
              </a:rPr>
              <a:t>Netherlands</a:t>
            </a:r>
            <a:r>
              <a:rPr lang="en-GB" b="1">
                <a:solidFill>
                  <a:schemeClr val="tx1"/>
                </a:solidFill>
              </a:rPr>
              <a:t> Gross Added Value in Constant</a:t>
            </a:r>
            <a:r>
              <a:rPr lang="en-GB" b="1" baseline="0">
                <a:solidFill>
                  <a:schemeClr val="tx1"/>
                </a:solidFill>
              </a:rPr>
              <a:t> Prices 2016</a:t>
            </a:r>
            <a:endParaRPr lang="en-GB" b="1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3"/>
          <c:order val="0"/>
          <c:tx>
            <c:v>GVA</c:v>
          </c:tx>
          <c:spPr>
            <a:ln w="28575" cap="rnd">
              <a:solidFill>
                <a:schemeClr val="tx2">
                  <a:lumMod val="75000"/>
                  <a:lumOff val="2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'02 GVA Const 2020 in Const 2016'!$A$3:$A$43</c:f>
              <c:strCache>
                <c:ptCount val="41"/>
                <c:pt idx="0">
                  <c:v>2015-Q2</c:v>
                </c:pt>
                <c:pt idx="1">
                  <c:v>2015-Q3</c:v>
                </c:pt>
                <c:pt idx="2">
                  <c:v>2015-Q4</c:v>
                </c:pt>
                <c:pt idx="3">
                  <c:v>2016-Q1</c:v>
                </c:pt>
                <c:pt idx="4">
                  <c:v>2016-Q2</c:v>
                </c:pt>
                <c:pt idx="5">
                  <c:v>2016-Q3</c:v>
                </c:pt>
                <c:pt idx="6">
                  <c:v>2016-Q4</c:v>
                </c:pt>
                <c:pt idx="7">
                  <c:v>2017-Q1</c:v>
                </c:pt>
                <c:pt idx="8">
                  <c:v>2017-Q2</c:v>
                </c:pt>
                <c:pt idx="9">
                  <c:v>2017-Q3</c:v>
                </c:pt>
                <c:pt idx="10">
                  <c:v>2017-Q4</c:v>
                </c:pt>
                <c:pt idx="11">
                  <c:v>2018-Q1</c:v>
                </c:pt>
                <c:pt idx="12">
                  <c:v>2018-Q2</c:v>
                </c:pt>
                <c:pt idx="13">
                  <c:v>2018-Q3</c:v>
                </c:pt>
                <c:pt idx="14">
                  <c:v>2018-Q4</c:v>
                </c:pt>
                <c:pt idx="15">
                  <c:v>2019-Q1</c:v>
                </c:pt>
                <c:pt idx="16">
                  <c:v>2019-Q2</c:v>
                </c:pt>
                <c:pt idx="17">
                  <c:v>2019-Q3</c:v>
                </c:pt>
                <c:pt idx="18">
                  <c:v>2019-Q4</c:v>
                </c:pt>
                <c:pt idx="19">
                  <c:v>2020-Q1</c:v>
                </c:pt>
                <c:pt idx="20">
                  <c:v>2020-Q2</c:v>
                </c:pt>
                <c:pt idx="21">
                  <c:v>2020-Q3</c:v>
                </c:pt>
                <c:pt idx="22">
                  <c:v>2020-Q4</c:v>
                </c:pt>
                <c:pt idx="23">
                  <c:v>2021-Q1</c:v>
                </c:pt>
                <c:pt idx="24">
                  <c:v>2021-Q2</c:v>
                </c:pt>
                <c:pt idx="25">
                  <c:v>2021-Q3</c:v>
                </c:pt>
                <c:pt idx="26">
                  <c:v>2021-Q4</c:v>
                </c:pt>
                <c:pt idx="27">
                  <c:v>2022-Q1</c:v>
                </c:pt>
                <c:pt idx="28">
                  <c:v>2022-Q2</c:v>
                </c:pt>
                <c:pt idx="29">
                  <c:v>2022-Q3</c:v>
                </c:pt>
                <c:pt idx="30">
                  <c:v>2022-Q4</c:v>
                </c:pt>
                <c:pt idx="31">
                  <c:v>2023-Q1</c:v>
                </c:pt>
                <c:pt idx="32">
                  <c:v>2023-Q2</c:v>
                </c:pt>
                <c:pt idx="33">
                  <c:v>2023-Q3</c:v>
                </c:pt>
                <c:pt idx="34">
                  <c:v>2023-Q4</c:v>
                </c:pt>
                <c:pt idx="35">
                  <c:v>2024-Q1</c:v>
                </c:pt>
                <c:pt idx="36">
                  <c:v>2024-Q2</c:v>
                </c:pt>
                <c:pt idx="37">
                  <c:v>2024-Q3</c:v>
                </c:pt>
                <c:pt idx="38">
                  <c:v>2024-Q4</c:v>
                </c:pt>
                <c:pt idx="39">
                  <c:v>2025-Q1</c:v>
                </c:pt>
                <c:pt idx="40">
                  <c:v>2025-Q2</c:v>
                </c:pt>
              </c:strCache>
            </c:strRef>
          </c:cat>
          <c:val>
            <c:numRef>
              <c:f>'02 GVA Const 2020 in Const 2016'!$D$3:$D$43</c:f>
              <c:numCache>
                <c:formatCode>0.00</c:formatCode>
                <c:ptCount val="41"/>
                <c:pt idx="0">
                  <c:v>161513.25366654154</c:v>
                </c:pt>
                <c:pt idx="1">
                  <c:v>155677.23181009715</c:v>
                </c:pt>
                <c:pt idx="2">
                  <c:v>160606.15269116178</c:v>
                </c:pt>
                <c:pt idx="3">
                  <c:v>155594.5182706881</c:v>
                </c:pt>
                <c:pt idx="4">
                  <c:v>165490.19025626802</c:v>
                </c:pt>
                <c:pt idx="5">
                  <c:v>159100.91283168335</c:v>
                </c:pt>
                <c:pt idx="6">
                  <c:v>164126.37864136056</c:v>
                </c:pt>
                <c:pt idx="7">
                  <c:v>160369.00390541423</c:v>
                </c:pt>
                <c:pt idx="8">
                  <c:v>170204.12921375231</c:v>
                </c:pt>
                <c:pt idx="9">
                  <c:v>163404.21524745025</c:v>
                </c:pt>
                <c:pt idx="10">
                  <c:v>168292.83274275632</c:v>
                </c:pt>
                <c:pt idx="11">
                  <c:v>164111.81446332508</c:v>
                </c:pt>
                <c:pt idx="12">
                  <c:v>174628.34178679492</c:v>
                </c:pt>
                <c:pt idx="13">
                  <c:v>166744.35834219141</c:v>
                </c:pt>
                <c:pt idx="14">
                  <c:v>171442.54233978826</c:v>
                </c:pt>
                <c:pt idx="15">
                  <c:v>168101.30006179912</c:v>
                </c:pt>
                <c:pt idx="16">
                  <c:v>178613.98024390108</c:v>
                </c:pt>
                <c:pt idx="17">
                  <c:v>170906.96530221929</c:v>
                </c:pt>
                <c:pt idx="18">
                  <c:v>175487.6282908883</c:v>
                </c:pt>
                <c:pt idx="19">
                  <c:v>167682.694441534</c:v>
                </c:pt>
                <c:pt idx="20">
                  <c:v>162710.3558221749</c:v>
                </c:pt>
                <c:pt idx="21">
                  <c:v>164442.48542375327</c:v>
                </c:pt>
                <c:pt idx="22">
                  <c:v>170306.81124883259</c:v>
                </c:pt>
                <c:pt idx="23">
                  <c:v>165839.73052911952</c:v>
                </c:pt>
                <c:pt idx="24">
                  <c:v>182515.16478812223</c:v>
                </c:pt>
                <c:pt idx="25">
                  <c:v>177232.49009842222</c:v>
                </c:pt>
                <c:pt idx="26">
                  <c:v>184029.01491637639</c:v>
                </c:pt>
                <c:pt idx="27">
                  <c:v>178781.2392947991</c:v>
                </c:pt>
                <c:pt idx="28">
                  <c:v>193683.78257344489</c:v>
                </c:pt>
                <c:pt idx="29">
                  <c:v>184832.9758636558</c:v>
                </c:pt>
                <c:pt idx="30">
                  <c:v>192620.78077406273</c:v>
                </c:pt>
                <c:pt idx="31">
                  <c:v>181072.21197936163</c:v>
                </c:pt>
                <c:pt idx="32">
                  <c:v>192204.64831610557</c:v>
                </c:pt>
                <c:pt idx="33">
                  <c:v>182115.79487469653</c:v>
                </c:pt>
                <c:pt idx="34">
                  <c:v>190337.31917502801</c:v>
                </c:pt>
                <c:pt idx="35">
                  <c:v>180627.77555276945</c:v>
                </c:pt>
                <c:pt idx="36">
                  <c:v>194186.84210659502</c:v>
                </c:pt>
                <c:pt idx="37">
                  <c:v>185186.18008066725</c:v>
                </c:pt>
                <c:pt idx="38">
                  <c:v>193903.06963141309</c:v>
                </c:pt>
                <c:pt idx="39">
                  <c:v>184694.47877441274</c:v>
                </c:pt>
                <c:pt idx="40">
                  <c:v>197610.33993097322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39A-0344-9AAF-EB9050D1DF3B}"/>
            </c:ext>
          </c:extLst>
        </c:ser>
        <c:ser>
          <c:idx val="0"/>
          <c:order val="1"/>
          <c:tx>
            <c:v>GVA with No Trend</c:v>
          </c:tx>
          <c:spPr>
            <a:ln w="28575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'02 GVA Const 2020 in Const 2016'!$A$3:$A$43</c:f>
              <c:strCache>
                <c:ptCount val="41"/>
                <c:pt idx="0">
                  <c:v>2015-Q2</c:v>
                </c:pt>
                <c:pt idx="1">
                  <c:v>2015-Q3</c:v>
                </c:pt>
                <c:pt idx="2">
                  <c:v>2015-Q4</c:v>
                </c:pt>
                <c:pt idx="3">
                  <c:v>2016-Q1</c:v>
                </c:pt>
                <c:pt idx="4">
                  <c:v>2016-Q2</c:v>
                </c:pt>
                <c:pt idx="5">
                  <c:v>2016-Q3</c:v>
                </c:pt>
                <c:pt idx="6">
                  <c:v>2016-Q4</c:v>
                </c:pt>
                <c:pt idx="7">
                  <c:v>2017-Q1</c:v>
                </c:pt>
                <c:pt idx="8">
                  <c:v>2017-Q2</c:v>
                </c:pt>
                <c:pt idx="9">
                  <c:v>2017-Q3</c:v>
                </c:pt>
                <c:pt idx="10">
                  <c:v>2017-Q4</c:v>
                </c:pt>
                <c:pt idx="11">
                  <c:v>2018-Q1</c:v>
                </c:pt>
                <c:pt idx="12">
                  <c:v>2018-Q2</c:v>
                </c:pt>
                <c:pt idx="13">
                  <c:v>2018-Q3</c:v>
                </c:pt>
                <c:pt idx="14">
                  <c:v>2018-Q4</c:v>
                </c:pt>
                <c:pt idx="15">
                  <c:v>2019-Q1</c:v>
                </c:pt>
                <c:pt idx="16">
                  <c:v>2019-Q2</c:v>
                </c:pt>
                <c:pt idx="17">
                  <c:v>2019-Q3</c:v>
                </c:pt>
                <c:pt idx="18">
                  <c:v>2019-Q4</c:v>
                </c:pt>
                <c:pt idx="19">
                  <c:v>2020-Q1</c:v>
                </c:pt>
                <c:pt idx="20">
                  <c:v>2020-Q2</c:v>
                </c:pt>
                <c:pt idx="21">
                  <c:v>2020-Q3</c:v>
                </c:pt>
                <c:pt idx="22">
                  <c:v>2020-Q4</c:v>
                </c:pt>
                <c:pt idx="23">
                  <c:v>2021-Q1</c:v>
                </c:pt>
                <c:pt idx="24">
                  <c:v>2021-Q2</c:v>
                </c:pt>
                <c:pt idx="25">
                  <c:v>2021-Q3</c:v>
                </c:pt>
                <c:pt idx="26">
                  <c:v>2021-Q4</c:v>
                </c:pt>
                <c:pt idx="27">
                  <c:v>2022-Q1</c:v>
                </c:pt>
                <c:pt idx="28">
                  <c:v>2022-Q2</c:v>
                </c:pt>
                <c:pt idx="29">
                  <c:v>2022-Q3</c:v>
                </c:pt>
                <c:pt idx="30">
                  <c:v>2022-Q4</c:v>
                </c:pt>
                <c:pt idx="31">
                  <c:v>2023-Q1</c:v>
                </c:pt>
                <c:pt idx="32">
                  <c:v>2023-Q2</c:v>
                </c:pt>
                <c:pt idx="33">
                  <c:v>2023-Q3</c:v>
                </c:pt>
                <c:pt idx="34">
                  <c:v>2023-Q4</c:v>
                </c:pt>
                <c:pt idx="35">
                  <c:v>2024-Q1</c:v>
                </c:pt>
                <c:pt idx="36">
                  <c:v>2024-Q2</c:v>
                </c:pt>
                <c:pt idx="37">
                  <c:v>2024-Q3</c:v>
                </c:pt>
                <c:pt idx="38">
                  <c:v>2024-Q4</c:v>
                </c:pt>
                <c:pt idx="39">
                  <c:v>2025-Q1</c:v>
                </c:pt>
                <c:pt idx="40">
                  <c:v>2025-Q2</c:v>
                </c:pt>
              </c:strCache>
            </c:strRef>
          </c:cat>
          <c:val>
            <c:numRef>
              <c:f>'02 GVA Const 2020 in Const 2016'!$E$3:$E$43</c:f>
              <c:numCache>
                <c:formatCode>0</c:formatCode>
                <c:ptCount val="41"/>
                <c:pt idx="0">
                  <c:v>9146.1206090745691</c:v>
                </c:pt>
                <c:pt idx="1">
                  <c:v>-5836.0218564443931</c:v>
                </c:pt>
                <c:pt idx="2">
                  <c:v>4928.9208810646378</c:v>
                </c:pt>
                <c:pt idx="3">
                  <c:v>-5011.6344204736815</c:v>
                </c:pt>
                <c:pt idx="4">
                  <c:v>9895.6719855799165</c:v>
                </c:pt>
                <c:pt idx="5">
                  <c:v>-6389.2774245846667</c:v>
                </c:pt>
                <c:pt idx="6">
                  <c:v>5025.4658096772037</c:v>
                </c:pt>
                <c:pt idx="7">
                  <c:v>-3757.3747359463305</c:v>
                </c:pt>
                <c:pt idx="8">
                  <c:v>9835.1253083380871</c:v>
                </c:pt>
                <c:pt idx="9">
                  <c:v>-6799.9139663020615</c:v>
                </c:pt>
                <c:pt idx="10">
                  <c:v>4888.617495306069</c:v>
                </c:pt>
                <c:pt idx="11">
                  <c:v>-4181.0182794312423</c:v>
                </c:pt>
                <c:pt idx="12">
                  <c:v>10516.52732346984</c:v>
                </c:pt>
                <c:pt idx="13">
                  <c:v>-7883.9834446035093</c:v>
                </c:pt>
                <c:pt idx="14">
                  <c:v>4698.1839975968469</c:v>
                </c:pt>
                <c:pt idx="15">
                  <c:v>-3341.2422779891349</c:v>
                </c:pt>
                <c:pt idx="16">
                  <c:v>10512.680182101962</c:v>
                </c:pt>
                <c:pt idx="17">
                  <c:v>-7707.0149416817876</c:v>
                </c:pt>
                <c:pt idx="18">
                  <c:v>4580.6629886690062</c:v>
                </c:pt>
                <c:pt idx="19">
                  <c:v>-7804.9338493543037</c:v>
                </c:pt>
                <c:pt idx="20">
                  <c:v>-4972.3386193590995</c:v>
                </c:pt>
                <c:pt idx="21">
                  <c:v>1732.1296015783737</c:v>
                </c:pt>
                <c:pt idx="22">
                  <c:v>5864.3258250793151</c:v>
                </c:pt>
                <c:pt idx="23">
                  <c:v>-4467.0807197130634</c:v>
                </c:pt>
                <c:pt idx="24">
                  <c:v>16675.434259002708</c:v>
                </c:pt>
                <c:pt idx="25">
                  <c:v>-5282.6746897000121</c:v>
                </c:pt>
                <c:pt idx="26">
                  <c:v>6796.5248179541668</c:v>
                </c:pt>
                <c:pt idx="27">
                  <c:v>-5247.7756215772824</c:v>
                </c:pt>
                <c:pt idx="28">
                  <c:v>14902.543278645782</c:v>
                </c:pt>
                <c:pt idx="29">
                  <c:v>-8850.8067097890889</c:v>
                </c:pt>
                <c:pt idx="30">
                  <c:v>7787.804910406936</c:v>
                </c:pt>
                <c:pt idx="31">
                  <c:v>-11548.568794701103</c:v>
                </c:pt>
                <c:pt idx="32">
                  <c:v>11132.436336743936</c:v>
                </c:pt>
                <c:pt idx="33">
                  <c:v>-10088.853441409039</c:v>
                </c:pt>
                <c:pt idx="34">
                  <c:v>8221.5243003314827</c:v>
                </c:pt>
                <c:pt idx="35">
                  <c:v>-9709.5436222585558</c:v>
                </c:pt>
                <c:pt idx="36">
                  <c:v>13559.066553825571</c:v>
                </c:pt>
                <c:pt idx="37">
                  <c:v>-9000.6620259277697</c:v>
                </c:pt>
                <c:pt idx="38">
                  <c:v>8716.8895507458365</c:v>
                </c:pt>
                <c:pt idx="39">
                  <c:v>-9208.5908570003521</c:v>
                </c:pt>
                <c:pt idx="40">
                  <c:v>12915.861156560481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39A-0344-9AAF-EB9050D1DF3B}"/>
            </c:ext>
          </c:extLst>
        </c:ser>
        <c:ser>
          <c:idx val="1"/>
          <c:order val="2"/>
          <c:tx>
            <c:v>GVA with No Trend and Seasonality</c:v>
          </c:tx>
          <c:spPr>
            <a:ln w="28575" cap="rnd">
              <a:solidFill>
                <a:schemeClr val="accent3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'02 GVA Const 2020 in Const 2016'!$A$3:$A$43</c:f>
              <c:strCache>
                <c:ptCount val="41"/>
                <c:pt idx="0">
                  <c:v>2015-Q2</c:v>
                </c:pt>
                <c:pt idx="1">
                  <c:v>2015-Q3</c:v>
                </c:pt>
                <c:pt idx="2">
                  <c:v>2015-Q4</c:v>
                </c:pt>
                <c:pt idx="3">
                  <c:v>2016-Q1</c:v>
                </c:pt>
                <c:pt idx="4">
                  <c:v>2016-Q2</c:v>
                </c:pt>
                <c:pt idx="5">
                  <c:v>2016-Q3</c:v>
                </c:pt>
                <c:pt idx="6">
                  <c:v>2016-Q4</c:v>
                </c:pt>
                <c:pt idx="7">
                  <c:v>2017-Q1</c:v>
                </c:pt>
                <c:pt idx="8">
                  <c:v>2017-Q2</c:v>
                </c:pt>
                <c:pt idx="9">
                  <c:v>2017-Q3</c:v>
                </c:pt>
                <c:pt idx="10">
                  <c:v>2017-Q4</c:v>
                </c:pt>
                <c:pt idx="11">
                  <c:v>2018-Q1</c:v>
                </c:pt>
                <c:pt idx="12">
                  <c:v>2018-Q2</c:v>
                </c:pt>
                <c:pt idx="13">
                  <c:v>2018-Q3</c:v>
                </c:pt>
                <c:pt idx="14">
                  <c:v>2018-Q4</c:v>
                </c:pt>
                <c:pt idx="15">
                  <c:v>2019-Q1</c:v>
                </c:pt>
                <c:pt idx="16">
                  <c:v>2019-Q2</c:v>
                </c:pt>
                <c:pt idx="17">
                  <c:v>2019-Q3</c:v>
                </c:pt>
                <c:pt idx="18">
                  <c:v>2019-Q4</c:v>
                </c:pt>
                <c:pt idx="19">
                  <c:v>2020-Q1</c:v>
                </c:pt>
                <c:pt idx="20">
                  <c:v>2020-Q2</c:v>
                </c:pt>
                <c:pt idx="21">
                  <c:v>2020-Q3</c:v>
                </c:pt>
                <c:pt idx="22">
                  <c:v>2020-Q4</c:v>
                </c:pt>
                <c:pt idx="23">
                  <c:v>2021-Q1</c:v>
                </c:pt>
                <c:pt idx="24">
                  <c:v>2021-Q2</c:v>
                </c:pt>
                <c:pt idx="25">
                  <c:v>2021-Q3</c:v>
                </c:pt>
                <c:pt idx="26">
                  <c:v>2021-Q4</c:v>
                </c:pt>
                <c:pt idx="27">
                  <c:v>2022-Q1</c:v>
                </c:pt>
                <c:pt idx="28">
                  <c:v>2022-Q2</c:v>
                </c:pt>
                <c:pt idx="29">
                  <c:v>2022-Q3</c:v>
                </c:pt>
                <c:pt idx="30">
                  <c:v>2022-Q4</c:v>
                </c:pt>
                <c:pt idx="31">
                  <c:v>2023-Q1</c:v>
                </c:pt>
                <c:pt idx="32">
                  <c:v>2023-Q2</c:v>
                </c:pt>
                <c:pt idx="33">
                  <c:v>2023-Q3</c:v>
                </c:pt>
                <c:pt idx="34">
                  <c:v>2023-Q4</c:v>
                </c:pt>
                <c:pt idx="35">
                  <c:v>2024-Q1</c:v>
                </c:pt>
                <c:pt idx="36">
                  <c:v>2024-Q2</c:v>
                </c:pt>
                <c:pt idx="37">
                  <c:v>2024-Q3</c:v>
                </c:pt>
                <c:pt idx="38">
                  <c:v>2024-Q4</c:v>
                </c:pt>
                <c:pt idx="39">
                  <c:v>2025-Q1</c:v>
                </c:pt>
                <c:pt idx="40">
                  <c:v>2025-Q2</c:v>
                </c:pt>
              </c:strCache>
            </c:strRef>
          </c:cat>
          <c:val>
            <c:numRef>
              <c:f>'02 GVA Const 2020 in Const 2016'!$F$3:$F$43</c:f>
              <c:numCache>
                <c:formatCode>0.00</c:formatCode>
                <c:ptCount val="41"/>
                <c:pt idx="0">
                  <c:v>-356.62709029989674</c:v>
                </c:pt>
                <c:pt idx="1">
                  <c:v>1646.4045498842406</c:v>
                </c:pt>
                <c:pt idx="2">
                  <c:v>-350.25266017627291</c:v>
                </c:pt>
                <c:pt idx="3">
                  <c:v>2287.8604138130613</c:v>
                </c:pt>
                <c:pt idx="4">
                  <c:v>392.9242862054507</c:v>
                </c:pt>
                <c:pt idx="5">
                  <c:v>1093.1489817439669</c:v>
                </c:pt>
                <c:pt idx="6">
                  <c:v>-253.70773156370706</c:v>
                </c:pt>
                <c:pt idx="7">
                  <c:v>3542.1200983404124</c:v>
                </c:pt>
                <c:pt idx="8">
                  <c:v>332.37760896362124</c:v>
                </c:pt>
                <c:pt idx="9">
                  <c:v>682.51244002657222</c:v>
                </c:pt>
                <c:pt idx="10">
                  <c:v>-390.55604593484168</c:v>
                </c:pt>
                <c:pt idx="11">
                  <c:v>3118.4765548555006</c:v>
                </c:pt>
                <c:pt idx="12">
                  <c:v>1013.7796240953739</c:v>
                </c:pt>
                <c:pt idx="13">
                  <c:v>-401.55703827487559</c:v>
                </c:pt>
                <c:pt idx="14">
                  <c:v>-580.98954364406382</c:v>
                </c:pt>
                <c:pt idx="15">
                  <c:v>3958.252556297608</c:v>
                </c:pt>
                <c:pt idx="16">
                  <c:v>1009.9324827274959</c:v>
                </c:pt>
                <c:pt idx="17">
                  <c:v>-224.58853535315393</c:v>
                </c:pt>
                <c:pt idx="18">
                  <c:v>-698.51055257190455</c:v>
                </c:pt>
                <c:pt idx="19">
                  <c:v>-505.43901506756083</c:v>
                </c:pt>
                <c:pt idx="20">
                  <c:v>-14475.086318733565</c:v>
                </c:pt>
                <c:pt idx="21">
                  <c:v>9214.5560079070074</c:v>
                </c:pt>
                <c:pt idx="22">
                  <c:v>585.1522838384044</c:v>
                </c:pt>
                <c:pt idx="23">
                  <c:v>2832.4141145736794</c:v>
                </c:pt>
                <c:pt idx="24">
                  <c:v>7172.6865596282423</c:v>
                </c:pt>
                <c:pt idx="25">
                  <c:v>2199.7517166286216</c:v>
                </c:pt>
                <c:pt idx="26">
                  <c:v>1517.3512767132561</c:v>
                </c:pt>
                <c:pt idx="27">
                  <c:v>2051.7192127094604</c:v>
                </c:pt>
                <c:pt idx="28">
                  <c:v>5399.7955792713165</c:v>
                </c:pt>
                <c:pt idx="29">
                  <c:v>-1368.3803034604553</c:v>
                </c:pt>
                <c:pt idx="30">
                  <c:v>2508.6313691660253</c:v>
                </c:pt>
                <c:pt idx="31">
                  <c:v>-4249.07396041436</c:v>
                </c:pt>
                <c:pt idx="32">
                  <c:v>1629.6886373694706</c:v>
                </c:pt>
                <c:pt idx="33">
                  <c:v>-2606.4270350804054</c:v>
                </c:pt>
                <c:pt idx="34">
                  <c:v>2942.350759090572</c:v>
                </c:pt>
                <c:pt idx="35">
                  <c:v>-2410.048787971813</c:v>
                </c:pt>
                <c:pt idx="36">
                  <c:v>4056.3188544511049</c:v>
                </c:pt>
                <c:pt idx="37">
                  <c:v>-1518.235619599136</c:v>
                </c:pt>
                <c:pt idx="38">
                  <c:v>3437.7160095049258</c:v>
                </c:pt>
                <c:pt idx="39">
                  <c:v>-1909.0960227136093</c:v>
                </c:pt>
                <c:pt idx="40">
                  <c:v>3413.1134571860148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39A-0344-9AAF-EB9050D1DF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30466656"/>
        <c:axId val="1707306528"/>
      </c:lineChart>
      <c:catAx>
        <c:axId val="13304666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0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  <c:crossAx val="1707306528"/>
        <c:crosses val="autoZero"/>
        <c:auto val="1"/>
        <c:lblAlgn val="ctr"/>
        <c:lblOffset val="100"/>
        <c:noMultiLvlLbl val="0"/>
      </c:catAx>
      <c:valAx>
        <c:axId val="170730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\ &quot;PLN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  <c:crossAx val="1330466656"/>
        <c:crossesAt val="1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/>
      </a:pPr>
      <a:endParaRPr lang="en-P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b="1">
                <a:solidFill>
                  <a:schemeClr val="tx2">
                    <a:lumMod val="90000"/>
                    <a:lumOff val="10000"/>
                  </a:schemeClr>
                </a:solidFill>
              </a:rPr>
              <a:t>Netherlands</a:t>
            </a:r>
            <a:r>
              <a:rPr lang="en-GB" b="1">
                <a:solidFill>
                  <a:schemeClr val="tx1"/>
                </a:solidFill>
              </a:rPr>
              <a:t> Gross Added Value in Constant Prices 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PL"/>
        </a:p>
      </c:txPr>
    </c:title>
    <c:autoTitleDeleted val="0"/>
    <c:plotArea>
      <c:layout/>
      <c:lineChart>
        <c:grouping val="standard"/>
        <c:varyColors val="0"/>
        <c:ser>
          <c:idx val="3"/>
          <c:order val="0"/>
          <c:tx>
            <c:v>GVA</c:v>
          </c:tx>
          <c:spPr>
            <a:ln w="28575" cap="rnd">
              <a:solidFill>
                <a:schemeClr val="tx2">
                  <a:lumMod val="75000"/>
                  <a:lumOff val="2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'02 GVA Const 2020 in Const 2024'!$A$3:$A$43</c:f>
              <c:strCache>
                <c:ptCount val="41"/>
                <c:pt idx="0">
                  <c:v>2015-Q2</c:v>
                </c:pt>
                <c:pt idx="1">
                  <c:v>2015-Q3</c:v>
                </c:pt>
                <c:pt idx="2">
                  <c:v>2015-Q4</c:v>
                </c:pt>
                <c:pt idx="3">
                  <c:v>2016-Q1</c:v>
                </c:pt>
                <c:pt idx="4">
                  <c:v>2016-Q2</c:v>
                </c:pt>
                <c:pt idx="5">
                  <c:v>2016-Q3</c:v>
                </c:pt>
                <c:pt idx="6">
                  <c:v>2016-Q4</c:v>
                </c:pt>
                <c:pt idx="7">
                  <c:v>2017-Q1</c:v>
                </c:pt>
                <c:pt idx="8">
                  <c:v>2017-Q2</c:v>
                </c:pt>
                <c:pt idx="9">
                  <c:v>2017-Q3</c:v>
                </c:pt>
                <c:pt idx="10">
                  <c:v>2017-Q4</c:v>
                </c:pt>
                <c:pt idx="11">
                  <c:v>2018-Q1</c:v>
                </c:pt>
                <c:pt idx="12">
                  <c:v>2018-Q2</c:v>
                </c:pt>
                <c:pt idx="13">
                  <c:v>2018-Q3</c:v>
                </c:pt>
                <c:pt idx="14">
                  <c:v>2018-Q4</c:v>
                </c:pt>
                <c:pt idx="15">
                  <c:v>2019-Q1</c:v>
                </c:pt>
                <c:pt idx="16">
                  <c:v>2019-Q2</c:v>
                </c:pt>
                <c:pt idx="17">
                  <c:v>2019-Q3</c:v>
                </c:pt>
                <c:pt idx="18">
                  <c:v>2019-Q4</c:v>
                </c:pt>
                <c:pt idx="19">
                  <c:v>2020-Q1</c:v>
                </c:pt>
                <c:pt idx="20">
                  <c:v>2020-Q2</c:v>
                </c:pt>
                <c:pt idx="21">
                  <c:v>2020-Q3</c:v>
                </c:pt>
                <c:pt idx="22">
                  <c:v>2020-Q4</c:v>
                </c:pt>
                <c:pt idx="23">
                  <c:v>2021-Q1</c:v>
                </c:pt>
                <c:pt idx="24">
                  <c:v>2021-Q2</c:v>
                </c:pt>
                <c:pt idx="25">
                  <c:v>2021-Q3</c:v>
                </c:pt>
                <c:pt idx="26">
                  <c:v>2021-Q4</c:v>
                </c:pt>
                <c:pt idx="27">
                  <c:v>2022-Q1</c:v>
                </c:pt>
                <c:pt idx="28">
                  <c:v>2022-Q2</c:v>
                </c:pt>
                <c:pt idx="29">
                  <c:v>2022-Q3</c:v>
                </c:pt>
                <c:pt idx="30">
                  <c:v>2022-Q4</c:v>
                </c:pt>
                <c:pt idx="31">
                  <c:v>2023-Q1</c:v>
                </c:pt>
                <c:pt idx="32">
                  <c:v>2023-Q2</c:v>
                </c:pt>
                <c:pt idx="33">
                  <c:v>2023-Q3</c:v>
                </c:pt>
                <c:pt idx="34">
                  <c:v>2023-Q4</c:v>
                </c:pt>
                <c:pt idx="35">
                  <c:v>2024-Q1</c:v>
                </c:pt>
                <c:pt idx="36">
                  <c:v>2024-Q2</c:v>
                </c:pt>
                <c:pt idx="37">
                  <c:v>2024-Q3</c:v>
                </c:pt>
                <c:pt idx="38">
                  <c:v>2024-Q4</c:v>
                </c:pt>
                <c:pt idx="39">
                  <c:v>2025-Q1</c:v>
                </c:pt>
                <c:pt idx="40">
                  <c:v>2025-Q2</c:v>
                </c:pt>
              </c:strCache>
            </c:strRef>
          </c:cat>
          <c:val>
            <c:numRef>
              <c:f>'02 GVA Const 2020 in Const 2024'!$D$3:$D$43</c:f>
              <c:numCache>
                <c:formatCode>0.00</c:formatCode>
                <c:ptCount val="41"/>
                <c:pt idx="0">
                  <c:v>215808.01816164039</c:v>
                </c:pt>
                <c:pt idx="1">
                  <c:v>208010.14224622143</c:v>
                </c:pt>
                <c:pt idx="2">
                  <c:v>214595.98348754883</c:v>
                </c:pt>
                <c:pt idx="3">
                  <c:v>207899.62348314916</c:v>
                </c:pt>
                <c:pt idx="4">
                  <c:v>221121.85330705406</c:v>
                </c:pt>
                <c:pt idx="5">
                  <c:v>212584.73782468442</c:v>
                </c:pt>
                <c:pt idx="6">
                  <c:v>219299.57881825787</c:v>
                </c:pt>
                <c:pt idx="7">
                  <c:v>214279.11407714561</c:v>
                </c:pt>
                <c:pt idx="8">
                  <c:v>227420.44367691904</c:v>
                </c:pt>
                <c:pt idx="9">
                  <c:v>218334.65088020501</c:v>
                </c:pt>
                <c:pt idx="10">
                  <c:v>224866.64023254925</c:v>
                </c:pt>
                <c:pt idx="11">
                  <c:v>219280.11870382988</c:v>
                </c:pt>
                <c:pt idx="12">
                  <c:v>233331.91239938911</c:v>
                </c:pt>
                <c:pt idx="13">
                  <c:v>222797.62617968474</c:v>
                </c:pt>
                <c:pt idx="14">
                  <c:v>229075.16535658354</c:v>
                </c:pt>
                <c:pt idx="15">
                  <c:v>224610.72136922245</c:v>
                </c:pt>
                <c:pt idx="16">
                  <c:v>238657.37465719692</c:v>
                </c:pt>
                <c:pt idx="17">
                  <c:v>228359.54718639137</c:v>
                </c:pt>
                <c:pt idx="18">
                  <c:v>234480.05915064149</c:v>
                </c:pt>
                <c:pt idx="19">
                  <c:v>224051.39606773821</c:v>
                </c:pt>
                <c:pt idx="20">
                  <c:v>217407.54165509713</c:v>
                </c:pt>
                <c:pt idx="21">
                  <c:v>219721.94897480539</c:v>
                </c:pt>
                <c:pt idx="22">
                  <c:v>227557.6436031693</c:v>
                </c:pt>
                <c:pt idx="23">
                  <c:v>221588.89605332626</c:v>
                </c:pt>
                <c:pt idx="24">
                  <c:v>243869.99272945363</c:v>
                </c:pt>
                <c:pt idx="25">
                  <c:v>236811.4787716422</c:v>
                </c:pt>
                <c:pt idx="26">
                  <c:v>245892.74311405534</c:v>
                </c:pt>
                <c:pt idx="27">
                  <c:v>238880.85999647703</c:v>
                </c:pt>
                <c:pt idx="28">
                  <c:v>258793.08551062905</c:v>
                </c:pt>
                <c:pt idx="29">
                  <c:v>246966.96590861265</c:v>
                </c:pt>
                <c:pt idx="30">
                  <c:v>257372.74193869813</c:v>
                </c:pt>
                <c:pt idx="31">
                  <c:v>241941.97271319959</c:v>
                </c:pt>
                <c:pt idx="32">
                  <c:v>256816.721184947</c:v>
                </c:pt>
                <c:pt idx="33">
                  <c:v>243336.36946589322</c:v>
                </c:pt>
                <c:pt idx="34">
                  <c:v>254321.66525583158</c:v>
                </c:pt>
                <c:pt idx="35">
                  <c:v>241348.13324650342</c:v>
                </c:pt>
                <c:pt idx="36">
                  <c:v>259465.25499766442</c:v>
                </c:pt>
                <c:pt idx="37">
                  <c:v>247438.90428115605</c:v>
                </c:pt>
                <c:pt idx="38">
                  <c:v>259086.08874296019</c:v>
                </c:pt>
                <c:pt idx="39">
                  <c:v>246781.91123556145</c:v>
                </c:pt>
                <c:pt idx="40">
                  <c:v>264039.60579481383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763-564A-B604-38C12B5DF4E6}"/>
            </c:ext>
          </c:extLst>
        </c:ser>
        <c:ser>
          <c:idx val="0"/>
          <c:order val="1"/>
          <c:tx>
            <c:v>GVA with No Trend</c:v>
          </c:tx>
          <c:spPr>
            <a:ln w="28575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'02 GVA Const 2020 in Const 2024'!$A$3:$A$43</c:f>
              <c:strCache>
                <c:ptCount val="41"/>
                <c:pt idx="0">
                  <c:v>2015-Q2</c:v>
                </c:pt>
                <c:pt idx="1">
                  <c:v>2015-Q3</c:v>
                </c:pt>
                <c:pt idx="2">
                  <c:v>2015-Q4</c:v>
                </c:pt>
                <c:pt idx="3">
                  <c:v>2016-Q1</c:v>
                </c:pt>
                <c:pt idx="4">
                  <c:v>2016-Q2</c:v>
                </c:pt>
                <c:pt idx="5">
                  <c:v>2016-Q3</c:v>
                </c:pt>
                <c:pt idx="6">
                  <c:v>2016-Q4</c:v>
                </c:pt>
                <c:pt idx="7">
                  <c:v>2017-Q1</c:v>
                </c:pt>
                <c:pt idx="8">
                  <c:v>2017-Q2</c:v>
                </c:pt>
                <c:pt idx="9">
                  <c:v>2017-Q3</c:v>
                </c:pt>
                <c:pt idx="10">
                  <c:v>2017-Q4</c:v>
                </c:pt>
                <c:pt idx="11">
                  <c:v>2018-Q1</c:v>
                </c:pt>
                <c:pt idx="12">
                  <c:v>2018-Q2</c:v>
                </c:pt>
                <c:pt idx="13">
                  <c:v>2018-Q3</c:v>
                </c:pt>
                <c:pt idx="14">
                  <c:v>2018-Q4</c:v>
                </c:pt>
                <c:pt idx="15">
                  <c:v>2019-Q1</c:v>
                </c:pt>
                <c:pt idx="16">
                  <c:v>2019-Q2</c:v>
                </c:pt>
                <c:pt idx="17">
                  <c:v>2019-Q3</c:v>
                </c:pt>
                <c:pt idx="18">
                  <c:v>2019-Q4</c:v>
                </c:pt>
                <c:pt idx="19">
                  <c:v>2020-Q1</c:v>
                </c:pt>
                <c:pt idx="20">
                  <c:v>2020-Q2</c:v>
                </c:pt>
                <c:pt idx="21">
                  <c:v>2020-Q3</c:v>
                </c:pt>
                <c:pt idx="22">
                  <c:v>2020-Q4</c:v>
                </c:pt>
                <c:pt idx="23">
                  <c:v>2021-Q1</c:v>
                </c:pt>
                <c:pt idx="24">
                  <c:v>2021-Q2</c:v>
                </c:pt>
                <c:pt idx="25">
                  <c:v>2021-Q3</c:v>
                </c:pt>
                <c:pt idx="26">
                  <c:v>2021-Q4</c:v>
                </c:pt>
                <c:pt idx="27">
                  <c:v>2022-Q1</c:v>
                </c:pt>
                <c:pt idx="28">
                  <c:v>2022-Q2</c:v>
                </c:pt>
                <c:pt idx="29">
                  <c:v>2022-Q3</c:v>
                </c:pt>
                <c:pt idx="30">
                  <c:v>2022-Q4</c:v>
                </c:pt>
                <c:pt idx="31">
                  <c:v>2023-Q1</c:v>
                </c:pt>
                <c:pt idx="32">
                  <c:v>2023-Q2</c:v>
                </c:pt>
                <c:pt idx="33">
                  <c:v>2023-Q3</c:v>
                </c:pt>
                <c:pt idx="34">
                  <c:v>2023-Q4</c:v>
                </c:pt>
                <c:pt idx="35">
                  <c:v>2024-Q1</c:v>
                </c:pt>
                <c:pt idx="36">
                  <c:v>2024-Q2</c:v>
                </c:pt>
                <c:pt idx="37">
                  <c:v>2024-Q3</c:v>
                </c:pt>
                <c:pt idx="38">
                  <c:v>2024-Q4</c:v>
                </c:pt>
                <c:pt idx="39">
                  <c:v>2025-Q1</c:v>
                </c:pt>
                <c:pt idx="40">
                  <c:v>2025-Q2</c:v>
                </c:pt>
              </c:strCache>
            </c:strRef>
          </c:cat>
          <c:val>
            <c:numRef>
              <c:f>'02 GVA Const 2020 in Const 2024'!$E$3:$E$43</c:f>
              <c:numCache>
                <c:formatCode>0</c:formatCode>
                <c:ptCount val="41"/>
                <c:pt idx="0">
                  <c:v>12220.707079474843</c:v>
                </c:pt>
                <c:pt idx="1">
                  <c:v>-7797.8759154189611</c:v>
                </c:pt>
                <c:pt idx="2">
                  <c:v>6585.8412413274054</c:v>
                </c:pt>
                <c:pt idx="3">
                  <c:v>-6696.3600043996703</c:v>
                </c:pt>
                <c:pt idx="4">
                  <c:v>13222.229823904898</c:v>
                </c:pt>
                <c:pt idx="5">
                  <c:v>-8537.1154823696415</c:v>
                </c:pt>
                <c:pt idx="6">
                  <c:v>6714.8409935734526</c:v>
                </c:pt>
                <c:pt idx="7">
                  <c:v>-5020.4647411122569</c:v>
                </c:pt>
                <c:pt idx="8">
                  <c:v>13141.329599773424</c:v>
                </c:pt>
                <c:pt idx="9">
                  <c:v>-9085.7927967140276</c:v>
                </c:pt>
                <c:pt idx="10">
                  <c:v>6531.9893523442443</c:v>
                </c:pt>
                <c:pt idx="11">
                  <c:v>-5586.5215287193714</c:v>
                </c:pt>
                <c:pt idx="12">
                  <c:v>14051.79369555923</c:v>
                </c:pt>
                <c:pt idx="13">
                  <c:v>-10534.286219704372</c:v>
                </c:pt>
                <c:pt idx="14">
                  <c:v>6277.5391768988047</c:v>
                </c:pt>
                <c:pt idx="15">
                  <c:v>-4464.4439873610972</c:v>
                </c:pt>
                <c:pt idx="16">
                  <c:v>14046.653287974477</c:v>
                </c:pt>
                <c:pt idx="17">
                  <c:v>-10297.827470805554</c:v>
                </c:pt>
                <c:pt idx="18">
                  <c:v>6120.5119642501231</c:v>
                </c:pt>
                <c:pt idx="19">
                  <c:v>-10428.66308290328</c:v>
                </c:pt>
                <c:pt idx="20">
                  <c:v>-6643.8544126410852</c:v>
                </c:pt>
                <c:pt idx="21">
                  <c:v>2314.4073197082616</c:v>
                </c:pt>
                <c:pt idx="22">
                  <c:v>7835.6946283639118</c:v>
                </c:pt>
                <c:pt idx="23">
                  <c:v>-5968.7475498430431</c:v>
                </c:pt>
                <c:pt idx="24">
                  <c:v>22281.096676127374</c:v>
                </c:pt>
                <c:pt idx="25">
                  <c:v>-7058.5139578114322</c:v>
                </c:pt>
                <c:pt idx="26">
                  <c:v>9081.2643424131384</c:v>
                </c:pt>
                <c:pt idx="27">
                  <c:v>-7011.8831175783125</c:v>
                </c:pt>
                <c:pt idx="28">
                  <c:v>19912.225514152029</c:v>
                </c:pt>
                <c:pt idx="29">
                  <c:v>-11826.119602016406</c:v>
                </c:pt>
                <c:pt idx="30">
                  <c:v>10405.776030085486</c:v>
                </c:pt>
                <c:pt idx="31">
                  <c:v>-15430.769225498545</c:v>
                </c:pt>
                <c:pt idx="32">
                  <c:v>14874.748471747414</c:v>
                </c:pt>
                <c:pt idx="33">
                  <c:v>-13480.351719053782</c:v>
                </c:pt>
                <c:pt idx="34">
                  <c:v>10985.295789938362</c:v>
                </c:pt>
                <c:pt idx="35">
                  <c:v>-12973.532009328163</c:v>
                </c:pt>
                <c:pt idx="36">
                  <c:v>18117.121751161001</c:v>
                </c:pt>
                <c:pt idx="37">
                  <c:v>-12026.350716508372</c:v>
                </c:pt>
                <c:pt idx="38">
                  <c:v>11647.184461804136</c:v>
                </c:pt>
                <c:pt idx="39">
                  <c:v>-12304.177507398737</c:v>
                </c:pt>
                <c:pt idx="40">
                  <c:v>17257.694559252384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763-564A-B604-38C12B5DF4E6}"/>
            </c:ext>
          </c:extLst>
        </c:ser>
        <c:ser>
          <c:idx val="1"/>
          <c:order val="2"/>
          <c:tx>
            <c:v>GVA with No Trend and Seasonality</c:v>
          </c:tx>
          <c:spPr>
            <a:ln w="28575" cap="rnd">
              <a:solidFill>
                <a:schemeClr val="accent3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'02 GVA Const 2020 in Const 2024'!$A$3:$A$43</c:f>
              <c:strCache>
                <c:ptCount val="41"/>
                <c:pt idx="0">
                  <c:v>2015-Q2</c:v>
                </c:pt>
                <c:pt idx="1">
                  <c:v>2015-Q3</c:v>
                </c:pt>
                <c:pt idx="2">
                  <c:v>2015-Q4</c:v>
                </c:pt>
                <c:pt idx="3">
                  <c:v>2016-Q1</c:v>
                </c:pt>
                <c:pt idx="4">
                  <c:v>2016-Q2</c:v>
                </c:pt>
                <c:pt idx="5">
                  <c:v>2016-Q3</c:v>
                </c:pt>
                <c:pt idx="6">
                  <c:v>2016-Q4</c:v>
                </c:pt>
                <c:pt idx="7">
                  <c:v>2017-Q1</c:v>
                </c:pt>
                <c:pt idx="8">
                  <c:v>2017-Q2</c:v>
                </c:pt>
                <c:pt idx="9">
                  <c:v>2017-Q3</c:v>
                </c:pt>
                <c:pt idx="10">
                  <c:v>2017-Q4</c:v>
                </c:pt>
                <c:pt idx="11">
                  <c:v>2018-Q1</c:v>
                </c:pt>
                <c:pt idx="12">
                  <c:v>2018-Q2</c:v>
                </c:pt>
                <c:pt idx="13">
                  <c:v>2018-Q3</c:v>
                </c:pt>
                <c:pt idx="14">
                  <c:v>2018-Q4</c:v>
                </c:pt>
                <c:pt idx="15">
                  <c:v>2019-Q1</c:v>
                </c:pt>
                <c:pt idx="16">
                  <c:v>2019-Q2</c:v>
                </c:pt>
                <c:pt idx="17">
                  <c:v>2019-Q3</c:v>
                </c:pt>
                <c:pt idx="18">
                  <c:v>2019-Q4</c:v>
                </c:pt>
                <c:pt idx="19">
                  <c:v>2020-Q1</c:v>
                </c:pt>
                <c:pt idx="20">
                  <c:v>2020-Q2</c:v>
                </c:pt>
                <c:pt idx="21">
                  <c:v>2020-Q3</c:v>
                </c:pt>
                <c:pt idx="22">
                  <c:v>2020-Q4</c:v>
                </c:pt>
                <c:pt idx="23">
                  <c:v>2021-Q1</c:v>
                </c:pt>
                <c:pt idx="24">
                  <c:v>2021-Q2</c:v>
                </c:pt>
                <c:pt idx="25">
                  <c:v>2021-Q3</c:v>
                </c:pt>
                <c:pt idx="26">
                  <c:v>2021-Q4</c:v>
                </c:pt>
                <c:pt idx="27">
                  <c:v>2022-Q1</c:v>
                </c:pt>
                <c:pt idx="28">
                  <c:v>2022-Q2</c:v>
                </c:pt>
                <c:pt idx="29">
                  <c:v>2022-Q3</c:v>
                </c:pt>
                <c:pt idx="30">
                  <c:v>2022-Q4</c:v>
                </c:pt>
                <c:pt idx="31">
                  <c:v>2023-Q1</c:v>
                </c:pt>
                <c:pt idx="32">
                  <c:v>2023-Q2</c:v>
                </c:pt>
                <c:pt idx="33">
                  <c:v>2023-Q3</c:v>
                </c:pt>
                <c:pt idx="34">
                  <c:v>2023-Q4</c:v>
                </c:pt>
                <c:pt idx="35">
                  <c:v>2024-Q1</c:v>
                </c:pt>
                <c:pt idx="36">
                  <c:v>2024-Q2</c:v>
                </c:pt>
                <c:pt idx="37">
                  <c:v>2024-Q3</c:v>
                </c:pt>
                <c:pt idx="38">
                  <c:v>2024-Q4</c:v>
                </c:pt>
                <c:pt idx="39">
                  <c:v>2025-Q1</c:v>
                </c:pt>
                <c:pt idx="40">
                  <c:v>2025-Q2</c:v>
                </c:pt>
              </c:strCache>
            </c:strRef>
          </c:cat>
          <c:val>
            <c:numRef>
              <c:f>'02 GVA Const 2020 in Const 2024'!$F$3:$F$43</c:f>
              <c:numCache>
                <c:formatCode>0.00</c:formatCode>
                <c:ptCount val="41"/>
                <c:pt idx="0">
                  <c:v>-476.51188885878037</c:v>
                </c:pt>
                <c:pt idx="1">
                  <c:v>2199.8646856337527</c:v>
                </c:pt>
                <c:pt idx="2">
                  <c:v>-467.99461178921592</c:v>
                </c:pt>
                <c:pt idx="3">
                  <c:v>3056.9542159978628</c:v>
                </c:pt>
                <c:pt idx="4">
                  <c:v>525.01085557127408</c:v>
                </c:pt>
                <c:pt idx="5">
                  <c:v>1460.6251186830723</c:v>
                </c:pt>
                <c:pt idx="6">
                  <c:v>-338.99485954316879</c:v>
                </c:pt>
                <c:pt idx="7">
                  <c:v>4732.8494792852762</c:v>
                </c:pt>
                <c:pt idx="8">
                  <c:v>444.11063143980027</c:v>
                </c:pt>
                <c:pt idx="9">
                  <c:v>911.94780433868618</c:v>
                </c:pt>
                <c:pt idx="10">
                  <c:v>-521.84650077237711</c:v>
                </c:pt>
                <c:pt idx="11">
                  <c:v>4166.7926916781616</c:v>
                </c:pt>
                <c:pt idx="12">
                  <c:v>1354.5747272256067</c:v>
                </c:pt>
                <c:pt idx="13">
                  <c:v>-536.54561865165851</c:v>
                </c:pt>
                <c:pt idx="14">
                  <c:v>-776.29667621781664</c:v>
                </c:pt>
                <c:pt idx="15">
                  <c:v>5288.8702330364358</c:v>
                </c:pt>
                <c:pt idx="16">
                  <c:v>1349.4343196408536</c:v>
                </c:pt>
                <c:pt idx="17">
                  <c:v>-300.08686975284036</c:v>
                </c:pt>
                <c:pt idx="18">
                  <c:v>-933.32388886649824</c:v>
                </c:pt>
                <c:pt idx="19">
                  <c:v>-675.34886250574709</c:v>
                </c:pt>
                <c:pt idx="20">
                  <c:v>-19341.073380974711</c:v>
                </c:pt>
                <c:pt idx="21">
                  <c:v>12312.147920760975</c:v>
                </c:pt>
                <c:pt idx="22">
                  <c:v>781.8587752472904</c:v>
                </c:pt>
                <c:pt idx="23">
                  <c:v>3784.56667055449</c:v>
                </c:pt>
                <c:pt idx="24">
                  <c:v>9583.8777077937502</c:v>
                </c:pt>
                <c:pt idx="25">
                  <c:v>2939.2266432412816</c:v>
                </c:pt>
                <c:pt idx="26">
                  <c:v>2027.428489296517</c:v>
                </c:pt>
                <c:pt idx="27">
                  <c:v>2741.4311028192205</c:v>
                </c:pt>
                <c:pt idx="28">
                  <c:v>7215.0065458184054</c:v>
                </c:pt>
                <c:pt idx="29">
                  <c:v>-1828.3790009636923</c:v>
                </c:pt>
                <c:pt idx="30">
                  <c:v>3351.9401769688648</c:v>
                </c:pt>
                <c:pt idx="31">
                  <c:v>-5677.4550051010119</c:v>
                </c:pt>
                <c:pt idx="32">
                  <c:v>2177.5295034137907</c:v>
                </c:pt>
                <c:pt idx="33">
                  <c:v>-3482.6111180010685</c:v>
                </c:pt>
                <c:pt idx="34">
                  <c:v>3931.4599368217405</c:v>
                </c:pt>
                <c:pt idx="35">
                  <c:v>-3220.2177889306295</c:v>
                </c:pt>
                <c:pt idx="36">
                  <c:v>5419.9027828273775</c:v>
                </c:pt>
                <c:pt idx="37">
                  <c:v>-2028.6101154556582</c:v>
                </c:pt>
                <c:pt idx="38">
                  <c:v>4593.3486086875146</c:v>
                </c:pt>
                <c:pt idx="39">
                  <c:v>-2550.8632870012043</c:v>
                </c:pt>
                <c:pt idx="40">
                  <c:v>4560.4755909187606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763-564A-B604-38C12B5DF4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30466656"/>
        <c:axId val="1707306528"/>
      </c:lineChart>
      <c:catAx>
        <c:axId val="13304666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0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  <c:crossAx val="1707306528"/>
        <c:crosses val="autoZero"/>
        <c:auto val="1"/>
        <c:lblAlgn val="ctr"/>
        <c:lblOffset val="100"/>
        <c:noMultiLvlLbl val="0"/>
      </c:catAx>
      <c:valAx>
        <c:axId val="170730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\ &quot;PLN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  <c:crossAx val="1330466656"/>
        <c:crossesAt val="1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/>
      </a:pPr>
      <a:endParaRPr lang="en-PL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Linear</a:t>
            </a:r>
            <a:r>
              <a:rPr lang="en-GB" b="1" baseline="0"/>
              <a:t> Trend of Netherlands GVA</a:t>
            </a:r>
            <a:endParaRPr lang="en-GB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GVA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'03 Linear Trend'!$C$2:$C$43</c:f>
              <c:numCache>
                <c:formatCode>General</c:formatCode>
                <c:ptCount val="42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  <c:pt idx="28">
                  <c:v>30</c:v>
                </c:pt>
                <c:pt idx="29">
                  <c:v>31</c:v>
                </c:pt>
                <c:pt idx="30">
                  <c:v>32</c:v>
                </c:pt>
                <c:pt idx="31">
                  <c:v>33</c:v>
                </c:pt>
                <c:pt idx="32">
                  <c:v>34</c:v>
                </c:pt>
                <c:pt idx="33">
                  <c:v>35</c:v>
                </c:pt>
                <c:pt idx="34">
                  <c:v>36</c:v>
                </c:pt>
                <c:pt idx="35">
                  <c:v>37</c:v>
                </c:pt>
                <c:pt idx="36">
                  <c:v>38</c:v>
                </c:pt>
                <c:pt idx="37">
                  <c:v>39</c:v>
                </c:pt>
                <c:pt idx="38">
                  <c:v>40</c:v>
                </c:pt>
                <c:pt idx="39">
                  <c:v>41</c:v>
                </c:pt>
                <c:pt idx="40">
                  <c:v>42</c:v>
                </c:pt>
                <c:pt idx="41">
                  <c:v>43</c:v>
                </c:pt>
              </c:numCache>
            </c:numRef>
          </c:cat>
          <c:val>
            <c:numRef>
              <c:f>'03 Linear Trend'!$A$2:$A$43</c:f>
              <c:numCache>
                <c:formatCode>General</c:formatCode>
                <c:ptCount val="42"/>
                <c:pt idx="0">
                  <c:v>150816</c:v>
                </c:pt>
                <c:pt idx="1">
                  <c:v>159663</c:v>
                </c:pt>
                <c:pt idx="2">
                  <c:v>155573</c:v>
                </c:pt>
                <c:pt idx="3">
                  <c:v>161574</c:v>
                </c:pt>
                <c:pt idx="4">
                  <c:v>154922</c:v>
                </c:pt>
                <c:pt idx="5">
                  <c:v>164049</c:v>
                </c:pt>
                <c:pt idx="6">
                  <c:v>159126</c:v>
                </c:pt>
                <c:pt idx="7">
                  <c:v>166215</c:v>
                </c:pt>
                <c:pt idx="8">
                  <c:v>161419</c:v>
                </c:pt>
                <c:pt idx="9">
                  <c:v>171164</c:v>
                </c:pt>
                <c:pt idx="10">
                  <c:v>166103</c:v>
                </c:pt>
                <c:pt idx="11">
                  <c:v>173248</c:v>
                </c:pt>
                <c:pt idx="12">
                  <c:v>170056</c:v>
                </c:pt>
                <c:pt idx="13">
                  <c:v>179008</c:v>
                </c:pt>
                <c:pt idx="14">
                  <c:v>173652</c:v>
                </c:pt>
                <c:pt idx="15">
                  <c:v>180841</c:v>
                </c:pt>
                <c:pt idx="16">
                  <c:v>178780</c:v>
                </c:pt>
                <c:pt idx="17">
                  <c:v>188735</c:v>
                </c:pt>
                <c:pt idx="18">
                  <c:v>182497</c:v>
                </c:pt>
                <c:pt idx="19">
                  <c:v>189496</c:v>
                </c:pt>
                <c:pt idx="20">
                  <c:v>182537</c:v>
                </c:pt>
                <c:pt idx="21">
                  <c:v>175396</c:v>
                </c:pt>
                <c:pt idx="22">
                  <c:v>179815</c:v>
                </c:pt>
                <c:pt idx="23">
                  <c:v>188401</c:v>
                </c:pt>
                <c:pt idx="24">
                  <c:v>183940</c:v>
                </c:pt>
                <c:pt idx="25">
                  <c:v>201433</c:v>
                </c:pt>
                <c:pt idx="26">
                  <c:v>198942</c:v>
                </c:pt>
                <c:pt idx="27">
                  <c:v>207415</c:v>
                </c:pt>
                <c:pt idx="28">
                  <c:v>209214</c:v>
                </c:pt>
                <c:pt idx="29">
                  <c:v>224204</c:v>
                </c:pt>
                <c:pt idx="30">
                  <c:v>221953</c:v>
                </c:pt>
                <c:pt idx="31">
                  <c:v>232803</c:v>
                </c:pt>
                <c:pt idx="32">
                  <c:v>228660</c:v>
                </c:pt>
                <c:pt idx="33">
                  <c:v>239816</c:v>
                </c:pt>
                <c:pt idx="34">
                  <c:v>233082</c:v>
                </c:pt>
                <c:pt idx="35">
                  <c:v>243243</c:v>
                </c:pt>
                <c:pt idx="36">
                  <c:v>241862</c:v>
                </c:pt>
                <c:pt idx="37">
                  <c:v>255757</c:v>
                </c:pt>
                <c:pt idx="38">
                  <c:v>248625</c:v>
                </c:pt>
                <c:pt idx="39">
                  <c:v>261094</c:v>
                </c:pt>
                <c:pt idx="40">
                  <c:v>254235</c:v>
                </c:pt>
                <c:pt idx="41">
                  <c:v>269320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C2-6740-B7F3-87FD574224A5}"/>
            </c:ext>
          </c:extLst>
        </c:ser>
        <c:ser>
          <c:idx val="1"/>
          <c:order val="1"/>
          <c:tx>
            <c:v>\hat{Y}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'03 Linear Trend'!$C$2:$C$43</c:f>
              <c:numCache>
                <c:formatCode>General</c:formatCode>
                <c:ptCount val="42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  <c:pt idx="28">
                  <c:v>30</c:v>
                </c:pt>
                <c:pt idx="29">
                  <c:v>31</c:v>
                </c:pt>
                <c:pt idx="30">
                  <c:v>32</c:v>
                </c:pt>
                <c:pt idx="31">
                  <c:v>33</c:v>
                </c:pt>
                <c:pt idx="32">
                  <c:v>34</c:v>
                </c:pt>
                <c:pt idx="33">
                  <c:v>35</c:v>
                </c:pt>
                <c:pt idx="34">
                  <c:v>36</c:v>
                </c:pt>
                <c:pt idx="35">
                  <c:v>37</c:v>
                </c:pt>
                <c:pt idx="36">
                  <c:v>38</c:v>
                </c:pt>
                <c:pt idx="37">
                  <c:v>39</c:v>
                </c:pt>
                <c:pt idx="38">
                  <c:v>40</c:v>
                </c:pt>
                <c:pt idx="39">
                  <c:v>41</c:v>
                </c:pt>
                <c:pt idx="40">
                  <c:v>42</c:v>
                </c:pt>
                <c:pt idx="41">
                  <c:v>43</c:v>
                </c:pt>
              </c:numCache>
            </c:numRef>
          </c:cat>
          <c:val>
            <c:numRef>
              <c:f>'03 Linear Trend'!$J$2:$J$43</c:f>
              <c:numCache>
                <c:formatCode>0.00</c:formatCode>
                <c:ptCount val="42"/>
                <c:pt idx="0">
                  <c:v>141613.78405315621</c:v>
                </c:pt>
                <c:pt idx="1">
                  <c:v>144309.37646868167</c:v>
                </c:pt>
                <c:pt idx="2">
                  <c:v>147004.96888420716</c:v>
                </c:pt>
                <c:pt idx="3">
                  <c:v>149700.56129973265</c:v>
                </c:pt>
                <c:pt idx="4">
                  <c:v>152396.15371525811</c:v>
                </c:pt>
                <c:pt idx="5">
                  <c:v>155091.74613078361</c:v>
                </c:pt>
                <c:pt idx="6">
                  <c:v>157787.3385463091</c:v>
                </c:pt>
                <c:pt idx="7">
                  <c:v>160482.93096183459</c:v>
                </c:pt>
                <c:pt idx="8">
                  <c:v>163178.52337736008</c:v>
                </c:pt>
                <c:pt idx="9">
                  <c:v>165874.11579288554</c:v>
                </c:pt>
                <c:pt idx="10">
                  <c:v>168569.70820841103</c:v>
                </c:pt>
                <c:pt idx="11">
                  <c:v>171265.30062393652</c:v>
                </c:pt>
                <c:pt idx="12">
                  <c:v>173960.89303946198</c:v>
                </c:pt>
                <c:pt idx="13">
                  <c:v>176656.48545498747</c:v>
                </c:pt>
                <c:pt idx="14">
                  <c:v>179352.07787051296</c:v>
                </c:pt>
                <c:pt idx="15">
                  <c:v>182047.67028603845</c:v>
                </c:pt>
                <c:pt idx="16">
                  <c:v>184743.26270156394</c:v>
                </c:pt>
                <c:pt idx="17">
                  <c:v>187438.85511708941</c:v>
                </c:pt>
                <c:pt idx="18">
                  <c:v>190134.4475326149</c:v>
                </c:pt>
                <c:pt idx="19">
                  <c:v>192830.03994814039</c:v>
                </c:pt>
                <c:pt idx="20">
                  <c:v>195525.63236366585</c:v>
                </c:pt>
                <c:pt idx="21">
                  <c:v>198221.22477919134</c:v>
                </c:pt>
                <c:pt idx="22">
                  <c:v>200916.81719471683</c:v>
                </c:pt>
                <c:pt idx="23">
                  <c:v>203612.40961024232</c:v>
                </c:pt>
                <c:pt idx="24">
                  <c:v>206308.00202576781</c:v>
                </c:pt>
                <c:pt idx="25">
                  <c:v>209003.59444129327</c:v>
                </c:pt>
                <c:pt idx="26">
                  <c:v>211699.18685681876</c:v>
                </c:pt>
                <c:pt idx="27">
                  <c:v>214394.77927234425</c:v>
                </c:pt>
                <c:pt idx="28">
                  <c:v>217090.37168786972</c:v>
                </c:pt>
                <c:pt idx="29">
                  <c:v>219785.96410339521</c:v>
                </c:pt>
                <c:pt idx="30">
                  <c:v>222481.5565189207</c:v>
                </c:pt>
                <c:pt idx="31">
                  <c:v>225177.14893444619</c:v>
                </c:pt>
                <c:pt idx="32">
                  <c:v>227872.74134997168</c:v>
                </c:pt>
                <c:pt idx="33">
                  <c:v>230568.33376549714</c:v>
                </c:pt>
                <c:pt idx="34">
                  <c:v>233263.92618102263</c:v>
                </c:pt>
                <c:pt idx="35">
                  <c:v>235959.51859654812</c:v>
                </c:pt>
                <c:pt idx="36">
                  <c:v>238655.11101207358</c:v>
                </c:pt>
                <c:pt idx="37">
                  <c:v>241350.70342759907</c:v>
                </c:pt>
                <c:pt idx="38">
                  <c:v>244046.29584312456</c:v>
                </c:pt>
                <c:pt idx="39">
                  <c:v>246741.88825865005</c:v>
                </c:pt>
                <c:pt idx="40">
                  <c:v>249437.48067417555</c:v>
                </c:pt>
                <c:pt idx="41">
                  <c:v>252133.07308970101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C2-6740-B7F3-87FD574224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64128416"/>
        <c:axId val="1639512336"/>
      </c:lineChart>
      <c:catAx>
        <c:axId val="106412841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639512336"/>
        <c:crosses val="autoZero"/>
        <c:auto val="1"/>
        <c:lblAlgn val="ctr"/>
        <c:lblOffset val="100"/>
        <c:noMultiLvlLbl val="0"/>
      </c:catAx>
      <c:valAx>
        <c:axId val="1639512336"/>
        <c:scaling>
          <c:orientation val="minMax"/>
          <c:max val="270000"/>
          <c:min val="13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  <c:crossAx val="1064128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PL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Power</a:t>
            </a:r>
            <a:r>
              <a:rPr lang="en-GB" b="1" baseline="0"/>
              <a:t> Trend of Netherlands GVA</a:t>
            </a:r>
            <a:endParaRPr lang="en-GB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GVA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'03 Power Trend'!$C$2:$C$43</c:f>
              <c:numCache>
                <c:formatCode>General</c:formatCode>
                <c:ptCount val="42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  <c:pt idx="28">
                  <c:v>30</c:v>
                </c:pt>
                <c:pt idx="29">
                  <c:v>31</c:v>
                </c:pt>
                <c:pt idx="30">
                  <c:v>32</c:v>
                </c:pt>
                <c:pt idx="31">
                  <c:v>33</c:v>
                </c:pt>
                <c:pt idx="32">
                  <c:v>34</c:v>
                </c:pt>
                <c:pt idx="33">
                  <c:v>35</c:v>
                </c:pt>
                <c:pt idx="34">
                  <c:v>36</c:v>
                </c:pt>
                <c:pt idx="35">
                  <c:v>37</c:v>
                </c:pt>
                <c:pt idx="36">
                  <c:v>38</c:v>
                </c:pt>
                <c:pt idx="37">
                  <c:v>39</c:v>
                </c:pt>
                <c:pt idx="38">
                  <c:v>40</c:v>
                </c:pt>
                <c:pt idx="39">
                  <c:v>41</c:v>
                </c:pt>
                <c:pt idx="40">
                  <c:v>42</c:v>
                </c:pt>
                <c:pt idx="41">
                  <c:v>43</c:v>
                </c:pt>
              </c:numCache>
            </c:numRef>
          </c:cat>
          <c:val>
            <c:numRef>
              <c:f>'03 Power Trend'!$A$2:$A$43</c:f>
              <c:numCache>
                <c:formatCode>General</c:formatCode>
                <c:ptCount val="42"/>
                <c:pt idx="0">
                  <c:v>150816</c:v>
                </c:pt>
                <c:pt idx="1">
                  <c:v>159663</c:v>
                </c:pt>
                <c:pt idx="2">
                  <c:v>155573</c:v>
                </c:pt>
                <c:pt idx="3">
                  <c:v>161574</c:v>
                </c:pt>
                <c:pt idx="4">
                  <c:v>154922</c:v>
                </c:pt>
                <c:pt idx="5">
                  <c:v>164049</c:v>
                </c:pt>
                <c:pt idx="6">
                  <c:v>159126</c:v>
                </c:pt>
                <c:pt idx="7">
                  <c:v>166215</c:v>
                </c:pt>
                <c:pt idx="8">
                  <c:v>161419</c:v>
                </c:pt>
                <c:pt idx="9">
                  <c:v>171164</c:v>
                </c:pt>
                <c:pt idx="10">
                  <c:v>166103</c:v>
                </c:pt>
                <c:pt idx="11">
                  <c:v>173248</c:v>
                </c:pt>
                <c:pt idx="12">
                  <c:v>170056</c:v>
                </c:pt>
                <c:pt idx="13">
                  <c:v>179008</c:v>
                </c:pt>
                <c:pt idx="14">
                  <c:v>173652</c:v>
                </c:pt>
                <c:pt idx="15">
                  <c:v>180841</c:v>
                </c:pt>
                <c:pt idx="16">
                  <c:v>178780</c:v>
                </c:pt>
                <c:pt idx="17">
                  <c:v>188735</c:v>
                </c:pt>
                <c:pt idx="18">
                  <c:v>182497</c:v>
                </c:pt>
                <c:pt idx="19">
                  <c:v>189496</c:v>
                </c:pt>
                <c:pt idx="20">
                  <c:v>182537</c:v>
                </c:pt>
                <c:pt idx="21">
                  <c:v>175396</c:v>
                </c:pt>
                <c:pt idx="22">
                  <c:v>179815</c:v>
                </c:pt>
                <c:pt idx="23">
                  <c:v>188401</c:v>
                </c:pt>
                <c:pt idx="24">
                  <c:v>183940</c:v>
                </c:pt>
                <c:pt idx="25">
                  <c:v>201433</c:v>
                </c:pt>
                <c:pt idx="26">
                  <c:v>198942</c:v>
                </c:pt>
                <c:pt idx="27">
                  <c:v>207415</c:v>
                </c:pt>
                <c:pt idx="28">
                  <c:v>209214</c:v>
                </c:pt>
                <c:pt idx="29">
                  <c:v>224204</c:v>
                </c:pt>
                <c:pt idx="30">
                  <c:v>221953</c:v>
                </c:pt>
                <c:pt idx="31">
                  <c:v>232803</c:v>
                </c:pt>
                <c:pt idx="32">
                  <c:v>228660</c:v>
                </c:pt>
                <c:pt idx="33">
                  <c:v>239816</c:v>
                </c:pt>
                <c:pt idx="34">
                  <c:v>233082</c:v>
                </c:pt>
                <c:pt idx="35">
                  <c:v>243243</c:v>
                </c:pt>
                <c:pt idx="36">
                  <c:v>241862</c:v>
                </c:pt>
                <c:pt idx="37">
                  <c:v>255757</c:v>
                </c:pt>
                <c:pt idx="38">
                  <c:v>248625</c:v>
                </c:pt>
                <c:pt idx="39">
                  <c:v>261094</c:v>
                </c:pt>
                <c:pt idx="40">
                  <c:v>254235</c:v>
                </c:pt>
                <c:pt idx="41">
                  <c:v>269320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46A-3F45-A8C3-AFD7C99E7354}"/>
            </c:ext>
          </c:extLst>
        </c:ser>
        <c:ser>
          <c:idx val="1"/>
          <c:order val="1"/>
          <c:tx>
            <c:v>\hat{Y}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'03 Power Trend'!$C$2:$C$43</c:f>
              <c:numCache>
                <c:formatCode>General</c:formatCode>
                <c:ptCount val="42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  <c:pt idx="28">
                  <c:v>30</c:v>
                </c:pt>
                <c:pt idx="29">
                  <c:v>31</c:v>
                </c:pt>
                <c:pt idx="30">
                  <c:v>32</c:v>
                </c:pt>
                <c:pt idx="31">
                  <c:v>33</c:v>
                </c:pt>
                <c:pt idx="32">
                  <c:v>34</c:v>
                </c:pt>
                <c:pt idx="33">
                  <c:v>35</c:v>
                </c:pt>
                <c:pt idx="34">
                  <c:v>36</c:v>
                </c:pt>
                <c:pt idx="35">
                  <c:v>37</c:v>
                </c:pt>
                <c:pt idx="36">
                  <c:v>38</c:v>
                </c:pt>
                <c:pt idx="37">
                  <c:v>39</c:v>
                </c:pt>
                <c:pt idx="38">
                  <c:v>40</c:v>
                </c:pt>
                <c:pt idx="39">
                  <c:v>41</c:v>
                </c:pt>
                <c:pt idx="40">
                  <c:v>42</c:v>
                </c:pt>
                <c:pt idx="41">
                  <c:v>43</c:v>
                </c:pt>
              </c:numCache>
            </c:numRef>
          </c:cat>
          <c:val>
            <c:numRef>
              <c:f>'03 Power Trend'!$J$2:$J$43</c:f>
              <c:numCache>
                <c:formatCode>0.00</c:formatCode>
                <c:ptCount val="42"/>
                <c:pt idx="0">
                  <c:v>127700.51973320972</c:v>
                </c:pt>
                <c:pt idx="1">
                  <c:v>137937.0376060445</c:v>
                </c:pt>
                <c:pt idx="2">
                  <c:v>145693.83391701739</c:v>
                </c:pt>
                <c:pt idx="3">
                  <c:v>152009.62046427326</c:v>
                </c:pt>
                <c:pt idx="4">
                  <c:v>157372.70208426667</c:v>
                </c:pt>
                <c:pt idx="5">
                  <c:v>162054.47783192011</c:v>
                </c:pt>
                <c:pt idx="6">
                  <c:v>166222.44988341458</c:v>
                </c:pt>
                <c:pt idx="7">
                  <c:v>169987.75236712748</c:v>
                </c:pt>
                <c:pt idx="8">
                  <c:v>173428.14613424931</c:v>
                </c:pt>
                <c:pt idx="9">
                  <c:v>176600.30657215853</c:v>
                </c:pt>
                <c:pt idx="10">
                  <c:v>179546.89901371408</c:v>
                </c:pt>
                <c:pt idx="11">
                  <c:v>182300.89761544918</c:v>
                </c:pt>
                <c:pt idx="12">
                  <c:v>184888.34836443234</c:v>
                </c:pt>
                <c:pt idx="13">
                  <c:v>187330.20637068982</c:v>
                </c:pt>
                <c:pt idx="14">
                  <c:v>189643.59782708026</c:v>
                </c:pt>
                <c:pt idx="15">
                  <c:v>191842.71102695374</c:v>
                </c:pt>
                <c:pt idx="16">
                  <c:v>193939.44059933745</c:v>
                </c:pt>
                <c:pt idx="17">
                  <c:v>195943.8630503247</c:v>
                </c:pt>
                <c:pt idx="18">
                  <c:v>197864.59422567653</c:v>
                </c:pt>
                <c:pt idx="19">
                  <c:v>199709.06237926515</c:v>
                </c:pt>
                <c:pt idx="20">
                  <c:v>201483.71979356327</c:v>
                </c:pt>
                <c:pt idx="21">
                  <c:v>203194.20891116309</c:v>
                </c:pt>
                <c:pt idx="22">
                  <c:v>204845.49428514729</c:v>
                </c:pt>
                <c:pt idx="23">
                  <c:v>206441.96849602857</c:v>
                </c:pt>
                <c:pt idx="24">
                  <c:v>207987.5379959103</c:v>
                </c:pt>
                <c:pt idx="25">
                  <c:v>209485.69330128643</c:v>
                </c:pt>
                <c:pt idx="26">
                  <c:v>210939.56685592109</c:v>
                </c:pt>
                <c:pt idx="27">
                  <c:v>212351.98108808452</c:v>
                </c:pt>
                <c:pt idx="28">
                  <c:v>213725.48860123486</c:v>
                </c:pt>
                <c:pt idx="29">
                  <c:v>215062.40600252117</c:v>
                </c:pt>
                <c:pt idx="30">
                  <c:v>216364.84254698659</c:v>
                </c:pt>
                <c:pt idx="31">
                  <c:v>217634.72452761582</c:v>
                </c:pt>
                <c:pt idx="32">
                  <c:v>218873.81615160819</c:v>
                </c:pt>
                <c:pt idx="33">
                  <c:v>220083.73749660459</c:v>
                </c:pt>
                <c:pt idx="34">
                  <c:v>221265.98002632055</c:v>
                </c:pt>
                <c:pt idx="35">
                  <c:v>222421.92005529371</c:v>
                </c:pt>
                <c:pt idx="36">
                  <c:v>223552.83048146186</c:v>
                </c:pt>
                <c:pt idx="37">
                  <c:v>224659.89104874094</c:v>
                </c:pt>
                <c:pt idx="38">
                  <c:v>225744.19735644074</c:v>
                </c:pt>
                <c:pt idx="39">
                  <c:v>226806.76879579126</c:v>
                </c:pt>
                <c:pt idx="40">
                  <c:v>227848.55556418805</c:v>
                </c:pt>
                <c:pt idx="41">
                  <c:v>228870.44488356845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46A-3F45-A8C3-AFD7C99E73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64128416"/>
        <c:axId val="1639512336"/>
      </c:lineChart>
      <c:catAx>
        <c:axId val="106412841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639512336"/>
        <c:crosses val="autoZero"/>
        <c:auto val="1"/>
        <c:lblAlgn val="ctr"/>
        <c:lblOffset val="100"/>
        <c:noMultiLvlLbl val="0"/>
      </c:catAx>
      <c:valAx>
        <c:axId val="1639512336"/>
        <c:scaling>
          <c:orientation val="minMax"/>
          <c:max val="275000"/>
          <c:min val="125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  <c:crossAx val="1064128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PL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Exponential</a:t>
            </a:r>
            <a:r>
              <a:rPr lang="en-GB" b="1" baseline="0"/>
              <a:t> Trend of Netherlands GVA</a:t>
            </a:r>
            <a:endParaRPr lang="en-GB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GVA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'03 Exponential Trend'!$C$2:$C$43</c:f>
              <c:numCache>
                <c:formatCode>General</c:formatCode>
                <c:ptCount val="42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  <c:pt idx="28">
                  <c:v>30</c:v>
                </c:pt>
                <c:pt idx="29">
                  <c:v>31</c:v>
                </c:pt>
                <c:pt idx="30">
                  <c:v>32</c:v>
                </c:pt>
                <c:pt idx="31">
                  <c:v>33</c:v>
                </c:pt>
                <c:pt idx="32">
                  <c:v>34</c:v>
                </c:pt>
                <c:pt idx="33">
                  <c:v>35</c:v>
                </c:pt>
                <c:pt idx="34">
                  <c:v>36</c:v>
                </c:pt>
                <c:pt idx="35">
                  <c:v>37</c:v>
                </c:pt>
                <c:pt idx="36">
                  <c:v>38</c:v>
                </c:pt>
                <c:pt idx="37">
                  <c:v>39</c:v>
                </c:pt>
                <c:pt idx="38">
                  <c:v>40</c:v>
                </c:pt>
                <c:pt idx="39">
                  <c:v>41</c:v>
                </c:pt>
                <c:pt idx="40">
                  <c:v>42</c:v>
                </c:pt>
                <c:pt idx="41">
                  <c:v>43</c:v>
                </c:pt>
              </c:numCache>
            </c:numRef>
          </c:cat>
          <c:val>
            <c:numRef>
              <c:f>'03 Exponential Trend'!$A$2:$A$43</c:f>
              <c:numCache>
                <c:formatCode>General</c:formatCode>
                <c:ptCount val="42"/>
                <c:pt idx="0">
                  <c:v>150816</c:v>
                </c:pt>
                <c:pt idx="1">
                  <c:v>159663</c:v>
                </c:pt>
                <c:pt idx="2">
                  <c:v>155573</c:v>
                </c:pt>
                <c:pt idx="3">
                  <c:v>161574</c:v>
                </c:pt>
                <c:pt idx="4">
                  <c:v>154922</c:v>
                </c:pt>
                <c:pt idx="5">
                  <c:v>164049</c:v>
                </c:pt>
                <c:pt idx="6">
                  <c:v>159126</c:v>
                </c:pt>
                <c:pt idx="7">
                  <c:v>166215</c:v>
                </c:pt>
                <c:pt idx="8">
                  <c:v>161419</c:v>
                </c:pt>
                <c:pt idx="9">
                  <c:v>171164</c:v>
                </c:pt>
                <c:pt idx="10">
                  <c:v>166103</c:v>
                </c:pt>
                <c:pt idx="11">
                  <c:v>173248</c:v>
                </c:pt>
                <c:pt idx="12">
                  <c:v>170056</c:v>
                </c:pt>
                <c:pt idx="13">
                  <c:v>179008</c:v>
                </c:pt>
                <c:pt idx="14">
                  <c:v>173652</c:v>
                </c:pt>
                <c:pt idx="15">
                  <c:v>180841</c:v>
                </c:pt>
                <c:pt idx="16">
                  <c:v>178780</c:v>
                </c:pt>
                <c:pt idx="17">
                  <c:v>188735</c:v>
                </c:pt>
                <c:pt idx="18">
                  <c:v>182497</c:v>
                </c:pt>
                <c:pt idx="19">
                  <c:v>189496</c:v>
                </c:pt>
                <c:pt idx="20">
                  <c:v>182537</c:v>
                </c:pt>
                <c:pt idx="21">
                  <c:v>175396</c:v>
                </c:pt>
                <c:pt idx="22">
                  <c:v>179815</c:v>
                </c:pt>
                <c:pt idx="23">
                  <c:v>188401</c:v>
                </c:pt>
                <c:pt idx="24">
                  <c:v>183940</c:v>
                </c:pt>
                <c:pt idx="25">
                  <c:v>201433</c:v>
                </c:pt>
                <c:pt idx="26">
                  <c:v>198942</c:v>
                </c:pt>
                <c:pt idx="27">
                  <c:v>207415</c:v>
                </c:pt>
                <c:pt idx="28">
                  <c:v>209214</c:v>
                </c:pt>
                <c:pt idx="29">
                  <c:v>224204</c:v>
                </c:pt>
                <c:pt idx="30">
                  <c:v>221953</c:v>
                </c:pt>
                <c:pt idx="31">
                  <c:v>232803</c:v>
                </c:pt>
                <c:pt idx="32">
                  <c:v>228660</c:v>
                </c:pt>
                <c:pt idx="33">
                  <c:v>239816</c:v>
                </c:pt>
                <c:pt idx="34">
                  <c:v>233082</c:v>
                </c:pt>
                <c:pt idx="35">
                  <c:v>243243</c:v>
                </c:pt>
                <c:pt idx="36">
                  <c:v>241862</c:v>
                </c:pt>
                <c:pt idx="37">
                  <c:v>255757</c:v>
                </c:pt>
                <c:pt idx="38">
                  <c:v>248625</c:v>
                </c:pt>
                <c:pt idx="39">
                  <c:v>261094</c:v>
                </c:pt>
                <c:pt idx="40">
                  <c:v>254235</c:v>
                </c:pt>
                <c:pt idx="41">
                  <c:v>269320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9AA-3246-B1AD-96E98527BD5F}"/>
            </c:ext>
          </c:extLst>
        </c:ser>
        <c:ser>
          <c:idx val="1"/>
          <c:order val="1"/>
          <c:tx>
            <c:v>\hat{Y}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'03 Exponential Trend'!$C$2:$C$43</c:f>
              <c:numCache>
                <c:formatCode>General</c:formatCode>
                <c:ptCount val="42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  <c:pt idx="28">
                  <c:v>30</c:v>
                </c:pt>
                <c:pt idx="29">
                  <c:v>31</c:v>
                </c:pt>
                <c:pt idx="30">
                  <c:v>32</c:v>
                </c:pt>
                <c:pt idx="31">
                  <c:v>33</c:v>
                </c:pt>
                <c:pt idx="32">
                  <c:v>34</c:v>
                </c:pt>
                <c:pt idx="33">
                  <c:v>35</c:v>
                </c:pt>
                <c:pt idx="34">
                  <c:v>36</c:v>
                </c:pt>
                <c:pt idx="35">
                  <c:v>37</c:v>
                </c:pt>
                <c:pt idx="36">
                  <c:v>38</c:v>
                </c:pt>
                <c:pt idx="37">
                  <c:v>39</c:v>
                </c:pt>
                <c:pt idx="38">
                  <c:v>40</c:v>
                </c:pt>
                <c:pt idx="39">
                  <c:v>41</c:v>
                </c:pt>
                <c:pt idx="40">
                  <c:v>42</c:v>
                </c:pt>
                <c:pt idx="41">
                  <c:v>43</c:v>
                </c:pt>
              </c:numCache>
            </c:numRef>
          </c:cat>
          <c:val>
            <c:numRef>
              <c:f>'03 Exponential Trend'!$J$2:$J$43</c:f>
              <c:numCache>
                <c:formatCode>0.00</c:formatCode>
                <c:ptCount val="42"/>
                <c:pt idx="0">
                  <c:v>147347.01781524598</c:v>
                </c:pt>
                <c:pt idx="1">
                  <c:v>149339.69450248976</c:v>
                </c:pt>
                <c:pt idx="2">
                  <c:v>151359.31954904748</c:v>
                </c:pt>
                <c:pt idx="3">
                  <c:v>153406.25739641301</c:v>
                </c:pt>
                <c:pt idx="4">
                  <c:v>155480.87741467793</c:v>
                </c:pt>
                <c:pt idx="5">
                  <c:v>157583.55396918382</c:v>
                </c:pt>
                <c:pt idx="6">
                  <c:v>159714.6664880754</c:v>
                </c:pt>
                <c:pt idx="7">
                  <c:v>161874.5995307703</c:v>
                </c:pt>
                <c:pt idx="8">
                  <c:v>164063.74285735178</c:v>
                </c:pt>
                <c:pt idx="9">
                  <c:v>166282.49149890032</c:v>
                </c:pt>
                <c:pt idx="10">
                  <c:v>168531.24582877848</c:v>
                </c:pt>
                <c:pt idx="11">
                  <c:v>170810.4116348777</c:v>
                </c:pt>
                <c:pt idx="12">
                  <c:v>173120.40019284168</c:v>
                </c:pt>
                <c:pt idx="13">
                  <c:v>175461.62834028329</c:v>
                </c:pt>
                <c:pt idx="14">
                  <c:v>177834.51855200046</c:v>
                </c:pt>
                <c:pt idx="15">
                  <c:v>180239.49901621402</c:v>
                </c:pt>
                <c:pt idx="16">
                  <c:v>182677.00371183324</c:v>
                </c:pt>
                <c:pt idx="17">
                  <c:v>185147.47248676661</c:v>
                </c:pt>
                <c:pt idx="18">
                  <c:v>187651.35113729443</c:v>
                </c:pt>
                <c:pt idx="19">
                  <c:v>190189.09148851037</c:v>
                </c:pt>
                <c:pt idx="20">
                  <c:v>192761.1514758555</c:v>
                </c:pt>
                <c:pt idx="21">
                  <c:v>195367.99522775199</c:v>
                </c:pt>
                <c:pt idx="22">
                  <c:v>198010.09314935387</c:v>
                </c:pt>
                <c:pt idx="23">
                  <c:v>200687.92200743381</c:v>
                </c:pt>
                <c:pt idx="24">
                  <c:v>203401.96501641479</c:v>
                </c:pt>
                <c:pt idx="25">
                  <c:v>206152.71192556494</c:v>
                </c:pt>
                <c:pt idx="26">
                  <c:v>208940.65910737516</c:v>
                </c:pt>
                <c:pt idx="27">
                  <c:v>211766.30964712834</c:v>
                </c:pt>
                <c:pt idx="28">
                  <c:v>214630.17343368009</c:v>
                </c:pt>
                <c:pt idx="29">
                  <c:v>217532.76725147085</c:v>
                </c:pt>
                <c:pt idx="30">
                  <c:v>220474.61487377665</c:v>
                </c:pt>
                <c:pt idx="31">
                  <c:v>223456.24715722669</c:v>
                </c:pt>
                <c:pt idx="32">
                  <c:v>226478.2021375953</c:v>
                </c:pt>
                <c:pt idx="33">
                  <c:v>229541.02512688946</c:v>
                </c:pt>
                <c:pt idx="34">
                  <c:v>232645.26881175299</c:v>
                </c:pt>
                <c:pt idx="35">
                  <c:v>235791.49335319581</c:v>
                </c:pt>
                <c:pt idx="36">
                  <c:v>238980.2664876779</c:v>
                </c:pt>
                <c:pt idx="37">
                  <c:v>242212.16362955605</c:v>
                </c:pt>
                <c:pt idx="38">
                  <c:v>245487.76797491626</c:v>
                </c:pt>
                <c:pt idx="39">
                  <c:v>248807.67060681406</c:v>
                </c:pt>
                <c:pt idx="40">
                  <c:v>252172.4706019341</c:v>
                </c:pt>
                <c:pt idx="41">
                  <c:v>255582.77513869241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9AA-3246-B1AD-96E98527BD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64128416"/>
        <c:axId val="1639512336"/>
      </c:lineChart>
      <c:catAx>
        <c:axId val="106412841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639512336"/>
        <c:crosses val="autoZero"/>
        <c:auto val="1"/>
        <c:lblAlgn val="ctr"/>
        <c:lblOffset val="100"/>
        <c:noMultiLvlLbl val="0"/>
      </c:catAx>
      <c:valAx>
        <c:axId val="1639512336"/>
        <c:scaling>
          <c:orientation val="minMax"/>
          <c:max val="270000"/>
          <c:min val="13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  <c:crossAx val="1064128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P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6350</xdr:colOff>
      <xdr:row>9</xdr:row>
      <xdr:rowOff>19050</xdr:rowOff>
    </xdr:from>
    <xdr:to>
      <xdr:col>18</xdr:col>
      <xdr:colOff>673100</xdr:colOff>
      <xdr:row>36</xdr:row>
      <xdr:rowOff>45720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B9D8526-23EA-FCEB-ECF9-123E4593F4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6350</xdr:colOff>
      <xdr:row>9</xdr:row>
      <xdr:rowOff>19050</xdr:rowOff>
    </xdr:from>
    <xdr:to>
      <xdr:col>18</xdr:col>
      <xdr:colOff>673100</xdr:colOff>
      <xdr:row>36</xdr:row>
      <xdr:rowOff>45720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6630DD7-0866-8548-A0B8-00F71E0CA7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6350</xdr:colOff>
      <xdr:row>9</xdr:row>
      <xdr:rowOff>19050</xdr:rowOff>
    </xdr:from>
    <xdr:to>
      <xdr:col>18</xdr:col>
      <xdr:colOff>673100</xdr:colOff>
      <xdr:row>36</xdr:row>
      <xdr:rowOff>45720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25B5F2A-9901-0A4E-9BEF-CCCF0EBB49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31749</xdr:colOff>
      <xdr:row>27</xdr:row>
      <xdr:rowOff>19050</xdr:rowOff>
    </xdr:from>
    <xdr:to>
      <xdr:col>19</xdr:col>
      <xdr:colOff>46566</xdr:colOff>
      <xdr:row>43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96006B3-4447-17D7-F401-367093B67E0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31749</xdr:colOff>
      <xdr:row>27</xdr:row>
      <xdr:rowOff>19050</xdr:rowOff>
    </xdr:from>
    <xdr:to>
      <xdr:col>21</xdr:col>
      <xdr:colOff>46566</xdr:colOff>
      <xdr:row>43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ED2C617-AE30-FF49-A8D1-EA78AB3085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31749</xdr:colOff>
      <xdr:row>27</xdr:row>
      <xdr:rowOff>19050</xdr:rowOff>
    </xdr:from>
    <xdr:to>
      <xdr:col>21</xdr:col>
      <xdr:colOff>46566</xdr:colOff>
      <xdr:row>43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7F15A50-F263-2145-A4FF-90C3D81279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B46222-3786-0C42-9D28-E193191D91D2}">
  <dimension ref="A1:J43"/>
  <sheetViews>
    <sheetView workbookViewId="0">
      <selection activeCell="D2" sqref="D2:D43"/>
    </sheetView>
  </sheetViews>
  <sheetFormatPr baseColWidth="10" defaultRowHeight="16" x14ac:dyDescent="0.2"/>
  <cols>
    <col min="1" max="1" width="8.1640625" bestFit="1" customWidth="1"/>
    <col min="2" max="2" width="5.1640625" bestFit="1" customWidth="1"/>
    <col min="3" max="4" width="7.1640625" bestFit="1" customWidth="1"/>
    <col min="5" max="5" width="15.5" bestFit="1" customWidth="1"/>
    <col min="6" max="6" width="36.5" bestFit="1" customWidth="1"/>
    <col min="7" max="7" width="12.33203125" bestFit="1" customWidth="1"/>
    <col min="8" max="8" width="7.6640625" bestFit="1" customWidth="1"/>
    <col min="9" max="9" width="9.5" bestFit="1" customWidth="1"/>
    <col min="10" max="10" width="8.33203125" bestFit="1" customWidth="1"/>
  </cols>
  <sheetData>
    <row r="1" spans="1:10" x14ac:dyDescent="0.2">
      <c r="A1" s="3" t="s">
        <v>50</v>
      </c>
      <c r="B1" s="3" t="s">
        <v>43</v>
      </c>
      <c r="C1" s="3" t="s">
        <v>44</v>
      </c>
      <c r="D1" s="3" t="s">
        <v>42</v>
      </c>
      <c r="E1" s="3" t="s">
        <v>45</v>
      </c>
      <c r="F1" s="3" t="s">
        <v>51</v>
      </c>
      <c r="I1" s="3" t="s">
        <v>46</v>
      </c>
    </row>
    <row r="2" spans="1:10" x14ac:dyDescent="0.2">
      <c r="A2" t="s">
        <v>0</v>
      </c>
      <c r="B2" s="2">
        <v>2015</v>
      </c>
      <c r="C2" s="2">
        <v>1</v>
      </c>
      <c r="D2" s="2">
        <v>150816</v>
      </c>
      <c r="E2" s="2"/>
      <c r="F2" s="1"/>
      <c r="H2" s="3" t="s">
        <v>44</v>
      </c>
      <c r="I2" s="3" t="s">
        <v>47</v>
      </c>
      <c r="J2" s="3" t="s">
        <v>48</v>
      </c>
    </row>
    <row r="3" spans="1:10" x14ac:dyDescent="0.2">
      <c r="A3" t="s">
        <v>1</v>
      </c>
      <c r="B3" s="2">
        <v>2015</v>
      </c>
      <c r="C3" s="2">
        <v>2</v>
      </c>
      <c r="D3" s="2">
        <v>159663</v>
      </c>
      <c r="E3" s="2">
        <f>D3-D2</f>
        <v>8847</v>
      </c>
      <c r="F3" s="1">
        <f>E3-_xlfn.XLOOKUP(C3,$H$3:$H$6,$J$3:$J$6)</f>
        <v>1363.545454545454</v>
      </c>
      <c r="H3">
        <v>1</v>
      </c>
      <c r="I3" s="1">
        <f>AVERAGEIF($C$3:$C$43,1,$E$3:$E$43)</f>
        <v>-3870.5</v>
      </c>
      <c r="J3" s="1">
        <f>I3-$I$8</f>
        <v>-6578.318181818182</v>
      </c>
    </row>
    <row r="4" spans="1:10" x14ac:dyDescent="0.2">
      <c r="A4" t="s">
        <v>2</v>
      </c>
      <c r="B4" s="2">
        <v>2015</v>
      </c>
      <c r="C4" s="2">
        <v>3</v>
      </c>
      <c r="D4" s="2">
        <v>155573</v>
      </c>
      <c r="E4" s="2">
        <f t="shared" ref="E4:E43" si="0">D4-D3</f>
        <v>-4090</v>
      </c>
      <c r="F4" s="1">
        <f t="shared" ref="F4:F43" si="1">E4-_xlfn.XLOOKUP(C4,$H$3:$H$6,$J$3:$J$6)</f>
        <v>2603.5181818181818</v>
      </c>
      <c r="H4">
        <v>2</v>
      </c>
      <c r="I4" s="1">
        <f>AVERAGEIF($C$3:$C$43,2,$E$3:$E$43)</f>
        <v>10191.272727272728</v>
      </c>
      <c r="J4" s="1">
        <f t="shared" ref="J4:J6" si="2">I4-$I$8</f>
        <v>7483.454545454546</v>
      </c>
    </row>
    <row r="5" spans="1:10" x14ac:dyDescent="0.2">
      <c r="A5" t="s">
        <v>3</v>
      </c>
      <c r="B5" s="2">
        <v>2015</v>
      </c>
      <c r="C5" s="2">
        <v>4</v>
      </c>
      <c r="D5" s="2">
        <v>161574</v>
      </c>
      <c r="E5" s="2">
        <f t="shared" si="0"/>
        <v>6001</v>
      </c>
      <c r="F5" s="1">
        <f t="shared" si="1"/>
        <v>212.61818181818126</v>
      </c>
      <c r="H5">
        <v>3</v>
      </c>
      <c r="I5" s="1">
        <f>AVERAGEIF($C$3:$C$43,3,$E$3:$E$43)</f>
        <v>-3985.7</v>
      </c>
      <c r="J5" s="1">
        <f t="shared" si="2"/>
        <v>-6693.5181818181818</v>
      </c>
    </row>
    <row r="6" spans="1:10" x14ac:dyDescent="0.2">
      <c r="A6" t="s">
        <v>4</v>
      </c>
      <c r="B6" s="2">
        <v>2016</v>
      </c>
      <c r="C6" s="2">
        <v>1</v>
      </c>
      <c r="D6" s="2">
        <v>154922</v>
      </c>
      <c r="E6" s="2">
        <f t="shared" si="0"/>
        <v>-6652</v>
      </c>
      <c r="F6" s="1">
        <f t="shared" si="1"/>
        <v>-73.681818181818016</v>
      </c>
      <c r="H6">
        <v>4</v>
      </c>
      <c r="I6" s="1">
        <f>AVERAGEIF($C$3:$C$43,4,$E$3:$E$43)</f>
        <v>8496.2000000000007</v>
      </c>
      <c r="J6" s="1">
        <f t="shared" si="2"/>
        <v>5788.3818181818187</v>
      </c>
    </row>
    <row r="7" spans="1:10" x14ac:dyDescent="0.2">
      <c r="A7" t="s">
        <v>5</v>
      </c>
      <c r="B7" s="2">
        <v>2016</v>
      </c>
      <c r="C7" s="2">
        <v>2</v>
      </c>
      <c r="D7" s="2">
        <v>164049</v>
      </c>
      <c r="E7" s="2">
        <f t="shared" si="0"/>
        <v>9127</v>
      </c>
      <c r="F7" s="1">
        <f t="shared" si="1"/>
        <v>1643.545454545454</v>
      </c>
    </row>
    <row r="8" spans="1:10" x14ac:dyDescent="0.2">
      <c r="A8" t="s">
        <v>6</v>
      </c>
      <c r="B8" s="2">
        <v>2016</v>
      </c>
      <c r="C8" s="2">
        <v>3</v>
      </c>
      <c r="D8" s="2">
        <v>159126</v>
      </c>
      <c r="E8" s="2">
        <f t="shared" si="0"/>
        <v>-4923</v>
      </c>
      <c r="F8" s="1">
        <f t="shared" si="1"/>
        <v>1770.5181818181818</v>
      </c>
      <c r="H8" s="3" t="s">
        <v>49</v>
      </c>
      <c r="I8" s="1">
        <f>AVERAGE(I3:I6)</f>
        <v>2707.818181818182</v>
      </c>
      <c r="J8" s="1">
        <f>AVERAGE(J3:J6)</f>
        <v>0</v>
      </c>
    </row>
    <row r="9" spans="1:10" x14ac:dyDescent="0.2">
      <c r="A9" t="s">
        <v>7</v>
      </c>
      <c r="B9" s="2">
        <v>2016</v>
      </c>
      <c r="C9" s="2">
        <v>4</v>
      </c>
      <c r="D9" s="2">
        <v>166215</v>
      </c>
      <c r="E9" s="2">
        <f t="shared" si="0"/>
        <v>7089</v>
      </c>
      <c r="F9" s="1">
        <f t="shared" si="1"/>
        <v>1300.6181818181813</v>
      </c>
    </row>
    <row r="10" spans="1:10" x14ac:dyDescent="0.2">
      <c r="A10" t="s">
        <v>8</v>
      </c>
      <c r="B10" s="2">
        <v>2017</v>
      </c>
      <c r="C10" s="2">
        <v>1</v>
      </c>
      <c r="D10" s="2">
        <v>161419</v>
      </c>
      <c r="E10" s="2">
        <f t="shared" si="0"/>
        <v>-4796</v>
      </c>
      <c r="F10" s="1">
        <f t="shared" si="1"/>
        <v>1782.318181818182</v>
      </c>
    </row>
    <row r="11" spans="1:10" x14ac:dyDescent="0.2">
      <c r="A11" t="s">
        <v>9</v>
      </c>
      <c r="B11" s="2">
        <v>2017</v>
      </c>
      <c r="C11" s="2">
        <v>2</v>
      </c>
      <c r="D11" s="2">
        <v>171164</v>
      </c>
      <c r="E11" s="2">
        <f t="shared" si="0"/>
        <v>9745</v>
      </c>
      <c r="F11" s="1">
        <f t="shared" si="1"/>
        <v>2261.545454545454</v>
      </c>
    </row>
    <row r="12" spans="1:10" x14ac:dyDescent="0.2">
      <c r="A12" t="s">
        <v>10</v>
      </c>
      <c r="B12" s="2">
        <v>2017</v>
      </c>
      <c r="C12" s="2">
        <v>3</v>
      </c>
      <c r="D12" s="2">
        <v>166103</v>
      </c>
      <c r="E12" s="2">
        <f t="shared" si="0"/>
        <v>-5061</v>
      </c>
      <c r="F12" s="1">
        <f t="shared" si="1"/>
        <v>1632.5181818181818</v>
      </c>
    </row>
    <row r="13" spans="1:10" x14ac:dyDescent="0.2">
      <c r="A13" t="s">
        <v>11</v>
      </c>
      <c r="B13" s="2">
        <v>2017</v>
      </c>
      <c r="C13" s="2">
        <v>4</v>
      </c>
      <c r="D13" s="2">
        <v>173248</v>
      </c>
      <c r="E13" s="2">
        <f t="shared" si="0"/>
        <v>7145</v>
      </c>
      <c r="F13" s="1">
        <f t="shared" si="1"/>
        <v>1356.6181818181813</v>
      </c>
    </row>
    <row r="14" spans="1:10" x14ac:dyDescent="0.2">
      <c r="A14" t="s">
        <v>12</v>
      </c>
      <c r="B14" s="2">
        <v>2018</v>
      </c>
      <c r="C14" s="2">
        <v>1</v>
      </c>
      <c r="D14" s="2">
        <v>170056</v>
      </c>
      <c r="E14" s="2">
        <f t="shared" si="0"/>
        <v>-3192</v>
      </c>
      <c r="F14" s="1">
        <f t="shared" si="1"/>
        <v>3386.318181818182</v>
      </c>
    </row>
    <row r="15" spans="1:10" x14ac:dyDescent="0.2">
      <c r="A15" t="s">
        <v>13</v>
      </c>
      <c r="B15" s="2">
        <v>2018</v>
      </c>
      <c r="C15" s="2">
        <v>2</v>
      </c>
      <c r="D15" s="2">
        <v>179008</v>
      </c>
      <c r="E15" s="2">
        <f t="shared" si="0"/>
        <v>8952</v>
      </c>
      <c r="F15" s="1">
        <f t="shared" si="1"/>
        <v>1468.545454545454</v>
      </c>
    </row>
    <row r="16" spans="1:10" x14ac:dyDescent="0.2">
      <c r="A16" t="s">
        <v>14</v>
      </c>
      <c r="B16" s="2">
        <v>2018</v>
      </c>
      <c r="C16" s="2">
        <v>3</v>
      </c>
      <c r="D16" s="2">
        <v>173652</v>
      </c>
      <c r="E16" s="2">
        <f t="shared" si="0"/>
        <v>-5356</v>
      </c>
      <c r="F16" s="1">
        <f t="shared" si="1"/>
        <v>1337.5181818181818</v>
      </c>
    </row>
    <row r="17" spans="1:6" x14ac:dyDescent="0.2">
      <c r="A17" t="s">
        <v>15</v>
      </c>
      <c r="B17" s="2">
        <v>2018</v>
      </c>
      <c r="C17" s="2">
        <v>4</v>
      </c>
      <c r="D17" s="2">
        <v>180841</v>
      </c>
      <c r="E17" s="2">
        <f t="shared" si="0"/>
        <v>7189</v>
      </c>
      <c r="F17" s="1">
        <f t="shared" si="1"/>
        <v>1400.6181818181813</v>
      </c>
    </row>
    <row r="18" spans="1:6" x14ac:dyDescent="0.2">
      <c r="A18" t="s">
        <v>16</v>
      </c>
      <c r="B18" s="2">
        <v>2019</v>
      </c>
      <c r="C18" s="2">
        <v>1</v>
      </c>
      <c r="D18" s="2">
        <v>178780</v>
      </c>
      <c r="E18" s="2">
        <f t="shared" si="0"/>
        <v>-2061</v>
      </c>
      <c r="F18" s="1">
        <f t="shared" si="1"/>
        <v>4517.318181818182</v>
      </c>
    </row>
    <row r="19" spans="1:6" x14ac:dyDescent="0.2">
      <c r="A19" t="s">
        <v>17</v>
      </c>
      <c r="B19" s="2">
        <v>2019</v>
      </c>
      <c r="C19" s="2">
        <v>2</v>
      </c>
      <c r="D19" s="2">
        <v>188735</v>
      </c>
      <c r="E19" s="2">
        <f t="shared" si="0"/>
        <v>9955</v>
      </c>
      <c r="F19" s="1">
        <f t="shared" si="1"/>
        <v>2471.545454545454</v>
      </c>
    </row>
    <row r="20" spans="1:6" x14ac:dyDescent="0.2">
      <c r="A20" t="s">
        <v>18</v>
      </c>
      <c r="B20" s="2">
        <v>2019</v>
      </c>
      <c r="C20" s="2">
        <v>3</v>
      </c>
      <c r="D20" s="2">
        <v>182497</v>
      </c>
      <c r="E20" s="2">
        <f t="shared" si="0"/>
        <v>-6238</v>
      </c>
      <c r="F20" s="1">
        <f t="shared" si="1"/>
        <v>455.5181818181818</v>
      </c>
    </row>
    <row r="21" spans="1:6" x14ac:dyDescent="0.2">
      <c r="A21" t="s">
        <v>19</v>
      </c>
      <c r="B21" s="2">
        <v>2019</v>
      </c>
      <c r="C21" s="2">
        <v>4</v>
      </c>
      <c r="D21" s="2">
        <v>189496</v>
      </c>
      <c r="E21" s="2">
        <f t="shared" si="0"/>
        <v>6999</v>
      </c>
      <c r="F21" s="1">
        <f t="shared" si="1"/>
        <v>1210.6181818181813</v>
      </c>
    </row>
    <row r="22" spans="1:6" x14ac:dyDescent="0.2">
      <c r="A22" t="s">
        <v>20</v>
      </c>
      <c r="B22" s="2">
        <v>2020</v>
      </c>
      <c r="C22" s="2">
        <v>1</v>
      </c>
      <c r="D22" s="2">
        <v>182537</v>
      </c>
      <c r="E22" s="2">
        <f t="shared" si="0"/>
        <v>-6959</v>
      </c>
      <c r="F22" s="1">
        <f t="shared" si="1"/>
        <v>-380.68181818181802</v>
      </c>
    </row>
    <row r="23" spans="1:6" x14ac:dyDescent="0.2">
      <c r="A23" t="s">
        <v>21</v>
      </c>
      <c r="B23" s="2">
        <v>2020</v>
      </c>
      <c r="C23" s="2">
        <v>2</v>
      </c>
      <c r="D23" s="2">
        <v>175396</v>
      </c>
      <c r="E23" s="2">
        <f t="shared" si="0"/>
        <v>-7141</v>
      </c>
      <c r="F23" s="1">
        <f t="shared" si="1"/>
        <v>-14624.454545454546</v>
      </c>
    </row>
    <row r="24" spans="1:6" x14ac:dyDescent="0.2">
      <c r="A24" t="s">
        <v>22</v>
      </c>
      <c r="B24" s="2">
        <v>2020</v>
      </c>
      <c r="C24" s="2">
        <v>3</v>
      </c>
      <c r="D24" s="2">
        <v>179815</v>
      </c>
      <c r="E24" s="2">
        <f t="shared" si="0"/>
        <v>4419</v>
      </c>
      <c r="F24" s="1">
        <f t="shared" si="1"/>
        <v>11112.518181818181</v>
      </c>
    </row>
    <row r="25" spans="1:6" x14ac:dyDescent="0.2">
      <c r="A25" t="s">
        <v>23</v>
      </c>
      <c r="B25" s="2">
        <v>2020</v>
      </c>
      <c r="C25" s="2">
        <v>4</v>
      </c>
      <c r="D25" s="2">
        <v>188401</v>
      </c>
      <c r="E25" s="2">
        <f t="shared" si="0"/>
        <v>8586</v>
      </c>
      <c r="F25" s="1">
        <f t="shared" si="1"/>
        <v>2797.6181818181813</v>
      </c>
    </row>
    <row r="26" spans="1:6" x14ac:dyDescent="0.2">
      <c r="A26" t="s">
        <v>24</v>
      </c>
      <c r="B26" s="2">
        <v>2021</v>
      </c>
      <c r="C26" s="2">
        <v>1</v>
      </c>
      <c r="D26" s="2">
        <v>183940</v>
      </c>
      <c r="E26" s="2">
        <f t="shared" si="0"/>
        <v>-4461</v>
      </c>
      <c r="F26" s="1">
        <f t="shared" si="1"/>
        <v>2117.318181818182</v>
      </c>
    </row>
    <row r="27" spans="1:6" x14ac:dyDescent="0.2">
      <c r="A27" t="s">
        <v>25</v>
      </c>
      <c r="B27" s="2">
        <v>2021</v>
      </c>
      <c r="C27" s="2">
        <v>2</v>
      </c>
      <c r="D27" s="2">
        <v>201433</v>
      </c>
      <c r="E27" s="2">
        <f t="shared" si="0"/>
        <v>17493</v>
      </c>
      <c r="F27" s="1">
        <f t="shared" si="1"/>
        <v>10009.545454545454</v>
      </c>
    </row>
    <row r="28" spans="1:6" x14ac:dyDescent="0.2">
      <c r="A28" t="s">
        <v>26</v>
      </c>
      <c r="B28" s="2">
        <v>2021</v>
      </c>
      <c r="C28" s="2">
        <v>3</v>
      </c>
      <c r="D28" s="2">
        <v>198942</v>
      </c>
      <c r="E28" s="2">
        <f t="shared" si="0"/>
        <v>-2491</v>
      </c>
      <c r="F28" s="1">
        <f t="shared" si="1"/>
        <v>4202.5181818181818</v>
      </c>
    </row>
    <row r="29" spans="1:6" x14ac:dyDescent="0.2">
      <c r="A29" t="s">
        <v>27</v>
      </c>
      <c r="B29" s="2">
        <v>2021</v>
      </c>
      <c r="C29" s="2">
        <v>4</v>
      </c>
      <c r="D29" s="2">
        <v>207415</v>
      </c>
      <c r="E29" s="2">
        <f t="shared" si="0"/>
        <v>8473</v>
      </c>
      <c r="F29" s="1">
        <f t="shared" si="1"/>
        <v>2684.6181818181813</v>
      </c>
    </row>
    <row r="30" spans="1:6" x14ac:dyDescent="0.2">
      <c r="A30" t="s">
        <v>28</v>
      </c>
      <c r="B30" s="2">
        <v>2022</v>
      </c>
      <c r="C30" s="2">
        <v>1</v>
      </c>
      <c r="D30" s="2">
        <v>209214</v>
      </c>
      <c r="E30" s="2">
        <f t="shared" si="0"/>
        <v>1799</v>
      </c>
      <c r="F30" s="1">
        <f t="shared" si="1"/>
        <v>8377.318181818182</v>
      </c>
    </row>
    <row r="31" spans="1:6" x14ac:dyDescent="0.2">
      <c r="A31" t="s">
        <v>29</v>
      </c>
      <c r="B31" s="2">
        <v>2022</v>
      </c>
      <c r="C31" s="2">
        <v>2</v>
      </c>
      <c r="D31" s="2">
        <v>224204</v>
      </c>
      <c r="E31" s="2">
        <f t="shared" si="0"/>
        <v>14990</v>
      </c>
      <c r="F31" s="1">
        <f t="shared" si="1"/>
        <v>7506.545454545454</v>
      </c>
    </row>
    <row r="32" spans="1:6" x14ac:dyDescent="0.2">
      <c r="A32" t="s">
        <v>30</v>
      </c>
      <c r="B32" s="2">
        <v>2022</v>
      </c>
      <c r="C32" s="2">
        <v>3</v>
      </c>
      <c r="D32" s="2">
        <v>221953</v>
      </c>
      <c r="E32" s="2">
        <f t="shared" si="0"/>
        <v>-2251</v>
      </c>
      <c r="F32" s="1">
        <f t="shared" si="1"/>
        <v>4442.5181818181818</v>
      </c>
    </row>
    <row r="33" spans="1:6" x14ac:dyDescent="0.2">
      <c r="A33" t="s">
        <v>31</v>
      </c>
      <c r="B33" s="2">
        <v>2022</v>
      </c>
      <c r="C33" s="2">
        <v>4</v>
      </c>
      <c r="D33" s="2">
        <v>232803</v>
      </c>
      <c r="E33" s="2">
        <f t="shared" si="0"/>
        <v>10850</v>
      </c>
      <c r="F33" s="1">
        <f t="shared" si="1"/>
        <v>5061.6181818181813</v>
      </c>
    </row>
    <row r="34" spans="1:6" x14ac:dyDescent="0.2">
      <c r="A34" t="s">
        <v>32</v>
      </c>
      <c r="B34" s="2">
        <v>2023</v>
      </c>
      <c r="C34" s="2">
        <v>1</v>
      </c>
      <c r="D34" s="2">
        <v>228660</v>
      </c>
      <c r="E34" s="2">
        <f t="shared" si="0"/>
        <v>-4143</v>
      </c>
      <c r="F34" s="1">
        <f t="shared" si="1"/>
        <v>2435.318181818182</v>
      </c>
    </row>
    <row r="35" spans="1:6" x14ac:dyDescent="0.2">
      <c r="A35" t="s">
        <v>33</v>
      </c>
      <c r="B35" s="2">
        <v>2023</v>
      </c>
      <c r="C35" s="2">
        <v>2</v>
      </c>
      <c r="D35" s="2">
        <v>239816</v>
      </c>
      <c r="E35" s="2">
        <f t="shared" si="0"/>
        <v>11156</v>
      </c>
      <c r="F35" s="1">
        <f t="shared" si="1"/>
        <v>3672.545454545454</v>
      </c>
    </row>
    <row r="36" spans="1:6" x14ac:dyDescent="0.2">
      <c r="A36" t="s">
        <v>34</v>
      </c>
      <c r="B36" s="2">
        <v>2023</v>
      </c>
      <c r="C36" s="2">
        <v>3</v>
      </c>
      <c r="D36" s="2">
        <v>233082</v>
      </c>
      <c r="E36" s="2">
        <f t="shared" si="0"/>
        <v>-6734</v>
      </c>
      <c r="F36" s="1">
        <f t="shared" si="1"/>
        <v>-40.481818181818198</v>
      </c>
    </row>
    <row r="37" spans="1:6" x14ac:dyDescent="0.2">
      <c r="A37" t="s">
        <v>35</v>
      </c>
      <c r="B37" s="2">
        <v>2023</v>
      </c>
      <c r="C37" s="2">
        <v>4</v>
      </c>
      <c r="D37" s="2">
        <v>243243</v>
      </c>
      <c r="E37" s="2">
        <f t="shared" si="0"/>
        <v>10161</v>
      </c>
      <c r="F37" s="1">
        <f t="shared" si="1"/>
        <v>4372.6181818181813</v>
      </c>
    </row>
    <row r="38" spans="1:6" x14ac:dyDescent="0.2">
      <c r="A38" t="s">
        <v>36</v>
      </c>
      <c r="B38" s="2">
        <v>2024</v>
      </c>
      <c r="C38" s="2">
        <v>1</v>
      </c>
      <c r="D38" s="2">
        <v>241862</v>
      </c>
      <c r="E38" s="2">
        <f t="shared" si="0"/>
        <v>-1381</v>
      </c>
      <c r="F38" s="1">
        <f t="shared" si="1"/>
        <v>5197.318181818182</v>
      </c>
    </row>
    <row r="39" spans="1:6" x14ac:dyDescent="0.2">
      <c r="A39" t="s">
        <v>37</v>
      </c>
      <c r="B39" s="2">
        <v>2024</v>
      </c>
      <c r="C39" s="2">
        <v>2</v>
      </c>
      <c r="D39" s="2">
        <v>255757</v>
      </c>
      <c r="E39" s="2">
        <f t="shared" si="0"/>
        <v>13895</v>
      </c>
      <c r="F39" s="1">
        <f t="shared" si="1"/>
        <v>6411.545454545454</v>
      </c>
    </row>
    <row r="40" spans="1:6" x14ac:dyDescent="0.2">
      <c r="A40" t="s">
        <v>38</v>
      </c>
      <c r="B40" s="2">
        <v>2024</v>
      </c>
      <c r="C40" s="2">
        <v>3</v>
      </c>
      <c r="D40" s="2">
        <v>248625</v>
      </c>
      <c r="E40" s="2">
        <f t="shared" si="0"/>
        <v>-7132</v>
      </c>
      <c r="F40" s="1">
        <f t="shared" si="1"/>
        <v>-438.4818181818182</v>
      </c>
    </row>
    <row r="41" spans="1:6" x14ac:dyDescent="0.2">
      <c r="A41" t="s">
        <v>39</v>
      </c>
      <c r="B41" s="2">
        <v>2024</v>
      </c>
      <c r="C41" s="2">
        <v>4</v>
      </c>
      <c r="D41" s="2">
        <v>261094</v>
      </c>
      <c r="E41" s="2">
        <f t="shared" si="0"/>
        <v>12469</v>
      </c>
      <c r="F41" s="1">
        <f t="shared" si="1"/>
        <v>6680.6181818181813</v>
      </c>
    </row>
    <row r="42" spans="1:6" x14ac:dyDescent="0.2">
      <c r="A42" t="s">
        <v>40</v>
      </c>
      <c r="B42" s="2">
        <v>2025</v>
      </c>
      <c r="C42" s="2">
        <v>1</v>
      </c>
      <c r="D42" s="2">
        <v>254235</v>
      </c>
      <c r="E42" s="2">
        <f t="shared" si="0"/>
        <v>-6859</v>
      </c>
      <c r="F42" s="1">
        <f t="shared" si="1"/>
        <v>-280.68181818181802</v>
      </c>
    </row>
    <row r="43" spans="1:6" x14ac:dyDescent="0.2">
      <c r="A43" t="s">
        <v>41</v>
      </c>
      <c r="B43" s="2">
        <v>2025</v>
      </c>
      <c r="C43" s="2">
        <v>2</v>
      </c>
      <c r="D43" s="2">
        <v>269320</v>
      </c>
      <c r="E43" s="2">
        <f t="shared" si="0"/>
        <v>15085</v>
      </c>
      <c r="F43" s="1">
        <f t="shared" si="1"/>
        <v>7601.545454545454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526ED-E8A7-8E40-A3AC-3D98D99B61D1}">
  <dimension ref="A1:K43"/>
  <sheetViews>
    <sheetView workbookViewId="0">
      <selection activeCell="J30" sqref="J30"/>
    </sheetView>
  </sheetViews>
  <sheetFormatPr baseColWidth="10" defaultRowHeight="16" x14ac:dyDescent="0.2"/>
  <cols>
    <col min="1" max="1" width="8.1640625" bestFit="1" customWidth="1"/>
    <col min="2" max="2" width="5.1640625" bestFit="1" customWidth="1"/>
    <col min="3" max="3" width="7.1640625" bestFit="1" customWidth="1"/>
    <col min="4" max="4" width="13" bestFit="1" customWidth="1"/>
    <col min="5" max="5" width="10" bestFit="1" customWidth="1"/>
    <col min="6" max="7" width="23.83203125" bestFit="1" customWidth="1"/>
    <col min="10" max="10" width="64.83203125" bestFit="1" customWidth="1"/>
    <col min="11" max="11" width="8.1640625" bestFit="1" customWidth="1"/>
    <col min="13" max="13" width="23.33203125" bestFit="1" customWidth="1"/>
    <col min="14" max="14" width="9.33203125" bestFit="1" customWidth="1"/>
    <col min="15" max="15" width="7.6640625" bestFit="1" customWidth="1"/>
    <col min="17" max="17" width="23.33203125" bestFit="1" customWidth="1"/>
    <col min="18" max="18" width="9.33203125" bestFit="1" customWidth="1"/>
    <col min="19" max="19" width="7.6640625" bestFit="1" customWidth="1"/>
  </cols>
  <sheetData>
    <row r="1" spans="1:11" x14ac:dyDescent="0.2">
      <c r="A1" s="3" t="s">
        <v>50</v>
      </c>
      <c r="B1" s="3" t="s">
        <v>43</v>
      </c>
      <c r="C1" s="3" t="s">
        <v>44</v>
      </c>
      <c r="D1" s="3" t="s">
        <v>53</v>
      </c>
      <c r="E1" s="3" t="s">
        <v>52</v>
      </c>
      <c r="F1" s="3" t="s">
        <v>58</v>
      </c>
      <c r="G1" s="3" t="s">
        <v>59</v>
      </c>
    </row>
    <row r="2" spans="1:11" x14ac:dyDescent="0.2">
      <c r="A2" t="s">
        <v>0</v>
      </c>
      <c r="B2">
        <v>2015</v>
      </c>
      <c r="C2">
        <v>1</v>
      </c>
      <c r="D2">
        <v>166342.20000000001</v>
      </c>
      <c r="F2" s="1">
        <f t="shared" ref="F2:F4" si="0">F3/E3</f>
        <v>152367.13305746697</v>
      </c>
      <c r="G2" s="1">
        <f t="shared" ref="G2:G36" si="1">G3/E3</f>
        <v>203587.31108216554</v>
      </c>
      <c r="J2" s="3" t="s">
        <v>55</v>
      </c>
      <c r="K2" s="2">
        <f>SUM('01 Removing Trend and Season'!D6:D9)</f>
        <v>644312</v>
      </c>
    </row>
    <row r="3" spans="1:11" x14ac:dyDescent="0.2">
      <c r="A3" t="s">
        <v>1</v>
      </c>
      <c r="B3">
        <v>2015</v>
      </c>
      <c r="C3">
        <v>2</v>
      </c>
      <c r="D3">
        <v>176327.2</v>
      </c>
      <c r="E3" s="1">
        <f>D3/D2</f>
        <v>1.0600268602916156</v>
      </c>
      <c r="F3" s="1">
        <f t="shared" si="0"/>
        <v>161513.25366654154</v>
      </c>
      <c r="G3" s="1">
        <f t="shared" si="1"/>
        <v>215808.01816164039</v>
      </c>
      <c r="J3" s="3" t="s">
        <v>57</v>
      </c>
      <c r="K3" s="2">
        <f>SUM(F6:F9)-K2</f>
        <v>0</v>
      </c>
    </row>
    <row r="4" spans="1:11" x14ac:dyDescent="0.2">
      <c r="A4" t="s">
        <v>2</v>
      </c>
      <c r="B4">
        <v>2015</v>
      </c>
      <c r="C4">
        <v>3</v>
      </c>
      <c r="D4">
        <v>169955.9</v>
      </c>
      <c r="E4" s="1">
        <f t="shared" ref="E4:E43" si="2">D4/D3</f>
        <v>0.963866607080473</v>
      </c>
      <c r="F4" s="1">
        <f t="shared" si="0"/>
        <v>155677.23181009715</v>
      </c>
      <c r="G4" s="1">
        <f t="shared" si="1"/>
        <v>208010.14224622143</v>
      </c>
    </row>
    <row r="5" spans="1:11" x14ac:dyDescent="0.2">
      <c r="A5" t="s">
        <v>3</v>
      </c>
      <c r="B5">
        <v>2015</v>
      </c>
      <c r="C5">
        <v>4</v>
      </c>
      <c r="D5">
        <v>175336.9</v>
      </c>
      <c r="E5" s="1">
        <f t="shared" si="2"/>
        <v>1.0316611544524197</v>
      </c>
      <c r="F5" s="1">
        <f>F6/E6</f>
        <v>160606.15269116178</v>
      </c>
      <c r="G5" s="1">
        <f t="shared" si="1"/>
        <v>214595.98348754883</v>
      </c>
      <c r="J5" s="3" t="s">
        <v>54</v>
      </c>
      <c r="K5" s="2">
        <f>SUM('01 Removing Trend and Season'!D38:D41)</f>
        <v>1007338</v>
      </c>
    </row>
    <row r="6" spans="1:11" x14ac:dyDescent="0.2">
      <c r="A6" t="s">
        <v>4</v>
      </c>
      <c r="B6">
        <v>2016</v>
      </c>
      <c r="C6">
        <v>1</v>
      </c>
      <c r="D6">
        <v>169865.60000000001</v>
      </c>
      <c r="E6" s="1">
        <f t="shared" si="2"/>
        <v>0.96879550168846384</v>
      </c>
      <c r="F6" s="4">
        <v>155594.5182706881</v>
      </c>
      <c r="G6" s="1">
        <f t="shared" si="1"/>
        <v>207899.62348314916</v>
      </c>
      <c r="J6" s="3" t="s">
        <v>56</v>
      </c>
      <c r="K6" s="2">
        <f>SUM(G38:G41)-K5</f>
        <v>0.38126828405074775</v>
      </c>
    </row>
    <row r="7" spans="1:11" x14ac:dyDescent="0.2">
      <c r="A7" t="s">
        <v>5</v>
      </c>
      <c r="B7">
        <v>2016</v>
      </c>
      <c r="C7">
        <v>2</v>
      </c>
      <c r="D7">
        <v>180668.9</v>
      </c>
      <c r="E7" s="1">
        <f t="shared" si="2"/>
        <v>1.0635991042329935</v>
      </c>
      <c r="F7" s="1">
        <f>F6*E7</f>
        <v>165490.19025626802</v>
      </c>
      <c r="G7" s="1">
        <f t="shared" si="1"/>
        <v>221121.85330705406</v>
      </c>
    </row>
    <row r="8" spans="1:11" x14ac:dyDescent="0.2">
      <c r="A8" t="s">
        <v>6</v>
      </c>
      <c r="B8">
        <v>2016</v>
      </c>
      <c r="C8">
        <v>3</v>
      </c>
      <c r="D8">
        <v>173693.6</v>
      </c>
      <c r="E8" s="1">
        <f t="shared" si="2"/>
        <v>0.961391805673251</v>
      </c>
      <c r="F8" s="1">
        <f t="shared" ref="F8:F43" si="3">F7*E8</f>
        <v>159100.91283168335</v>
      </c>
      <c r="G8" s="1">
        <f t="shared" si="1"/>
        <v>212584.73782468442</v>
      </c>
    </row>
    <row r="9" spans="1:11" x14ac:dyDescent="0.2">
      <c r="A9" t="s">
        <v>7</v>
      </c>
      <c r="B9">
        <v>2016</v>
      </c>
      <c r="C9">
        <v>4</v>
      </c>
      <c r="D9">
        <v>179180</v>
      </c>
      <c r="E9" s="1">
        <f t="shared" si="2"/>
        <v>1.0315866560425946</v>
      </c>
      <c r="F9" s="1">
        <f t="shared" si="3"/>
        <v>164126.37864136056</v>
      </c>
      <c r="G9" s="1">
        <f t="shared" si="1"/>
        <v>219299.57881825787</v>
      </c>
    </row>
    <row r="10" spans="1:11" x14ac:dyDescent="0.2">
      <c r="A10" t="s">
        <v>8</v>
      </c>
      <c r="B10">
        <v>2017</v>
      </c>
      <c r="C10">
        <v>1</v>
      </c>
      <c r="D10">
        <v>175078</v>
      </c>
      <c r="E10" s="1">
        <f t="shared" si="2"/>
        <v>0.97710681995758453</v>
      </c>
      <c r="F10" s="1">
        <f t="shared" si="3"/>
        <v>160369.00390541423</v>
      </c>
      <c r="G10" s="1">
        <f t="shared" si="1"/>
        <v>214279.11407714561</v>
      </c>
    </row>
    <row r="11" spans="1:11" x14ac:dyDescent="0.2">
      <c r="A11" t="s">
        <v>9</v>
      </c>
      <c r="B11">
        <v>2017</v>
      </c>
      <c r="C11">
        <v>2</v>
      </c>
      <c r="D11">
        <v>185815.2</v>
      </c>
      <c r="E11" s="1">
        <f t="shared" si="2"/>
        <v>1.0613280937639225</v>
      </c>
      <c r="F11" s="1">
        <f t="shared" si="3"/>
        <v>170204.12921375231</v>
      </c>
      <c r="G11" s="1">
        <f t="shared" si="1"/>
        <v>227420.44367691904</v>
      </c>
    </row>
    <row r="12" spans="1:11" x14ac:dyDescent="0.2">
      <c r="A12" t="s">
        <v>10</v>
      </c>
      <c r="B12">
        <v>2017</v>
      </c>
      <c r="C12">
        <v>3</v>
      </c>
      <c r="D12">
        <v>178391.6</v>
      </c>
      <c r="E12" s="1">
        <f t="shared" si="2"/>
        <v>0.96004847827303685</v>
      </c>
      <c r="F12" s="1">
        <f t="shared" si="3"/>
        <v>163404.21524745025</v>
      </c>
      <c r="G12" s="1">
        <f t="shared" si="1"/>
        <v>218334.65088020501</v>
      </c>
    </row>
    <row r="13" spans="1:11" x14ac:dyDescent="0.2">
      <c r="A13" t="s">
        <v>11</v>
      </c>
      <c r="B13">
        <v>2017</v>
      </c>
      <c r="C13">
        <v>4</v>
      </c>
      <c r="D13">
        <v>183728.6</v>
      </c>
      <c r="E13" s="1">
        <f t="shared" si="2"/>
        <v>1.0299173279459346</v>
      </c>
      <c r="F13" s="1">
        <f t="shared" si="3"/>
        <v>168292.83274275632</v>
      </c>
      <c r="G13" s="1">
        <f t="shared" si="1"/>
        <v>224866.64023254925</v>
      </c>
    </row>
    <row r="14" spans="1:11" x14ac:dyDescent="0.2">
      <c r="A14" t="s">
        <v>12</v>
      </c>
      <c r="B14">
        <v>2018</v>
      </c>
      <c r="C14">
        <v>1</v>
      </c>
      <c r="D14">
        <v>179164.1</v>
      </c>
      <c r="E14" s="1">
        <f t="shared" si="2"/>
        <v>0.97515629031081719</v>
      </c>
      <c r="F14" s="1">
        <f t="shared" si="3"/>
        <v>164111.81446332508</v>
      </c>
      <c r="G14" s="1">
        <f t="shared" si="1"/>
        <v>219280.11870382988</v>
      </c>
    </row>
    <row r="15" spans="1:11" x14ac:dyDescent="0.2">
      <c r="A15" t="s">
        <v>13</v>
      </c>
      <c r="B15">
        <v>2018</v>
      </c>
      <c r="C15">
        <v>2</v>
      </c>
      <c r="D15">
        <v>190645.2</v>
      </c>
      <c r="E15" s="1">
        <f t="shared" si="2"/>
        <v>1.0640814761439374</v>
      </c>
      <c r="F15" s="1">
        <f t="shared" si="3"/>
        <v>174628.34178679492</v>
      </c>
      <c r="G15" s="1">
        <f t="shared" si="1"/>
        <v>233331.91239938911</v>
      </c>
    </row>
    <row r="16" spans="1:11" x14ac:dyDescent="0.2">
      <c r="A16" t="s">
        <v>14</v>
      </c>
      <c r="B16">
        <v>2018</v>
      </c>
      <c r="C16">
        <v>3</v>
      </c>
      <c r="D16">
        <v>182038.1</v>
      </c>
      <c r="E16" s="1">
        <f t="shared" si="2"/>
        <v>0.95485278412464614</v>
      </c>
      <c r="F16" s="1">
        <f t="shared" si="3"/>
        <v>166744.35834219141</v>
      </c>
      <c r="G16" s="1">
        <f t="shared" si="1"/>
        <v>222797.62617968474</v>
      </c>
    </row>
    <row r="17" spans="1:7" x14ac:dyDescent="0.2">
      <c r="A17" t="s">
        <v>15</v>
      </c>
      <c r="B17">
        <v>2018</v>
      </c>
      <c r="C17">
        <v>4</v>
      </c>
      <c r="D17">
        <v>187167.2</v>
      </c>
      <c r="E17" s="1">
        <f t="shared" si="2"/>
        <v>1.028175969755782</v>
      </c>
      <c r="F17" s="1">
        <f t="shared" si="3"/>
        <v>171442.54233978826</v>
      </c>
      <c r="G17" s="1">
        <f t="shared" si="1"/>
        <v>229075.16535658354</v>
      </c>
    </row>
    <row r="18" spans="1:7" x14ac:dyDescent="0.2">
      <c r="A18" t="s">
        <v>16</v>
      </c>
      <c r="B18">
        <v>2019</v>
      </c>
      <c r="C18">
        <v>1</v>
      </c>
      <c r="D18">
        <v>183519.5</v>
      </c>
      <c r="E18" s="1">
        <f t="shared" si="2"/>
        <v>0.9805110083390679</v>
      </c>
      <c r="F18" s="1">
        <f t="shared" si="3"/>
        <v>168101.30006179912</v>
      </c>
      <c r="G18" s="1">
        <f t="shared" si="1"/>
        <v>224610.72136922245</v>
      </c>
    </row>
    <row r="19" spans="1:7" x14ac:dyDescent="0.2">
      <c r="A19" t="s">
        <v>17</v>
      </c>
      <c r="B19">
        <v>2019</v>
      </c>
      <c r="C19">
        <v>2</v>
      </c>
      <c r="D19">
        <v>194996.4</v>
      </c>
      <c r="E19" s="1">
        <f t="shared" si="2"/>
        <v>1.0625377684660213</v>
      </c>
      <c r="F19" s="1">
        <f t="shared" si="3"/>
        <v>178613.98024390108</v>
      </c>
      <c r="G19" s="1">
        <f t="shared" si="1"/>
        <v>238657.37465719692</v>
      </c>
    </row>
    <row r="20" spans="1:7" x14ac:dyDescent="0.2">
      <c r="A20" t="s">
        <v>18</v>
      </c>
      <c r="B20">
        <v>2019</v>
      </c>
      <c r="C20">
        <v>3</v>
      </c>
      <c r="D20">
        <v>186582.5</v>
      </c>
      <c r="E20" s="1">
        <f t="shared" si="2"/>
        <v>0.95685099827483999</v>
      </c>
      <c r="F20" s="1">
        <f t="shared" si="3"/>
        <v>170906.96530221929</v>
      </c>
      <c r="G20" s="1">
        <f t="shared" si="1"/>
        <v>228359.54718639137</v>
      </c>
    </row>
    <row r="21" spans="1:7" x14ac:dyDescent="0.2">
      <c r="A21" t="s">
        <v>19</v>
      </c>
      <c r="B21">
        <v>2019</v>
      </c>
      <c r="C21">
        <v>4</v>
      </c>
      <c r="D21">
        <v>191583.3</v>
      </c>
      <c r="E21" s="1">
        <f t="shared" si="2"/>
        <v>1.0268020848686237</v>
      </c>
      <c r="F21" s="1">
        <f t="shared" si="3"/>
        <v>175487.6282908883</v>
      </c>
      <c r="G21" s="1">
        <f t="shared" si="1"/>
        <v>234480.05915064149</v>
      </c>
    </row>
    <row r="22" spans="1:7" x14ac:dyDescent="0.2">
      <c r="A22" t="s">
        <v>20</v>
      </c>
      <c r="B22">
        <v>2020</v>
      </c>
      <c r="C22">
        <v>1</v>
      </c>
      <c r="D22">
        <v>183062.5</v>
      </c>
      <c r="E22" s="1">
        <f t="shared" si="2"/>
        <v>0.95552430718126269</v>
      </c>
      <c r="F22" s="1">
        <f t="shared" si="3"/>
        <v>167682.694441534</v>
      </c>
      <c r="G22" s="1">
        <f t="shared" si="1"/>
        <v>224051.39606773821</v>
      </c>
    </row>
    <row r="23" spans="1:7" x14ac:dyDescent="0.2">
      <c r="A23" t="s">
        <v>21</v>
      </c>
      <c r="B23">
        <v>2020</v>
      </c>
      <c r="C23">
        <v>2</v>
      </c>
      <c r="D23">
        <v>177634.1</v>
      </c>
      <c r="E23" s="1">
        <f t="shared" si="2"/>
        <v>0.97034673950153638</v>
      </c>
      <c r="F23" s="1">
        <f t="shared" si="3"/>
        <v>162710.3558221749</v>
      </c>
      <c r="G23" s="1">
        <f t="shared" si="1"/>
        <v>217407.54165509713</v>
      </c>
    </row>
    <row r="24" spans="1:7" x14ac:dyDescent="0.2">
      <c r="A24" t="s">
        <v>22</v>
      </c>
      <c r="B24">
        <v>2020</v>
      </c>
      <c r="C24">
        <v>3</v>
      </c>
      <c r="D24">
        <v>179525.1</v>
      </c>
      <c r="E24" s="1">
        <f t="shared" si="2"/>
        <v>1.0106454785426897</v>
      </c>
      <c r="F24" s="1">
        <f t="shared" si="3"/>
        <v>164442.48542375327</v>
      </c>
      <c r="G24" s="1">
        <f t="shared" si="1"/>
        <v>219721.94897480539</v>
      </c>
    </row>
    <row r="25" spans="1:7" x14ac:dyDescent="0.2">
      <c r="A25" t="s">
        <v>23</v>
      </c>
      <c r="B25">
        <v>2020</v>
      </c>
      <c r="C25">
        <v>4</v>
      </c>
      <c r="D25">
        <v>185927.3</v>
      </c>
      <c r="E25" s="1">
        <f t="shared" si="2"/>
        <v>1.0356618656666949</v>
      </c>
      <c r="F25" s="1">
        <f t="shared" si="3"/>
        <v>170306.81124883259</v>
      </c>
      <c r="G25" s="1">
        <f t="shared" si="1"/>
        <v>227557.6436031693</v>
      </c>
    </row>
    <row r="26" spans="1:7" x14ac:dyDescent="0.2">
      <c r="A26" t="s">
        <v>24</v>
      </c>
      <c r="B26">
        <v>2021</v>
      </c>
      <c r="C26">
        <v>1</v>
      </c>
      <c r="D26">
        <v>181050.5</v>
      </c>
      <c r="E26" s="1">
        <f t="shared" si="2"/>
        <v>0.97377039305147772</v>
      </c>
      <c r="F26" s="1">
        <f t="shared" si="3"/>
        <v>165839.73052911952</v>
      </c>
      <c r="G26" s="1">
        <f t="shared" si="1"/>
        <v>221588.89605332626</v>
      </c>
    </row>
    <row r="27" spans="1:7" x14ac:dyDescent="0.2">
      <c r="A27" t="s">
        <v>25</v>
      </c>
      <c r="B27">
        <v>2021</v>
      </c>
      <c r="C27">
        <v>2</v>
      </c>
      <c r="D27">
        <v>199255.4</v>
      </c>
      <c r="E27" s="1">
        <f t="shared" si="2"/>
        <v>1.1005515035860161</v>
      </c>
      <c r="F27" s="1">
        <f t="shared" si="3"/>
        <v>182515.16478812223</v>
      </c>
      <c r="G27" s="1">
        <f t="shared" si="1"/>
        <v>243869.99272945363</v>
      </c>
    </row>
    <row r="28" spans="1:7" x14ac:dyDescent="0.2">
      <c r="A28" t="s">
        <v>26</v>
      </c>
      <c r="B28">
        <v>2021</v>
      </c>
      <c r="C28">
        <v>3</v>
      </c>
      <c r="D28">
        <v>193488.2</v>
      </c>
      <c r="E28" s="1">
        <f t="shared" si="2"/>
        <v>0.97105624239041965</v>
      </c>
      <c r="F28" s="1">
        <f t="shared" si="3"/>
        <v>177232.49009842222</v>
      </c>
      <c r="G28" s="1">
        <f t="shared" si="1"/>
        <v>236811.4787716422</v>
      </c>
    </row>
    <row r="29" spans="1:7" x14ac:dyDescent="0.2">
      <c r="A29" t="s">
        <v>27</v>
      </c>
      <c r="B29">
        <v>2021</v>
      </c>
      <c r="C29">
        <v>4</v>
      </c>
      <c r="D29">
        <v>200908.1</v>
      </c>
      <c r="E29" s="1">
        <f t="shared" si="2"/>
        <v>1.0383480749730474</v>
      </c>
      <c r="F29" s="1">
        <f t="shared" si="3"/>
        <v>184029.01491637639</v>
      </c>
      <c r="G29" s="1">
        <f t="shared" si="1"/>
        <v>245892.74311405534</v>
      </c>
    </row>
    <row r="30" spans="1:7" x14ac:dyDescent="0.2">
      <c r="A30" t="s">
        <v>28</v>
      </c>
      <c r="B30">
        <v>2022</v>
      </c>
      <c r="C30">
        <v>1</v>
      </c>
      <c r="D30">
        <v>195179</v>
      </c>
      <c r="E30" s="1">
        <f t="shared" si="2"/>
        <v>0.97148397700242051</v>
      </c>
      <c r="F30" s="1">
        <f t="shared" si="3"/>
        <v>178781.2392947991</v>
      </c>
      <c r="G30" s="1">
        <f t="shared" si="1"/>
        <v>238880.85999647703</v>
      </c>
    </row>
    <row r="31" spans="1:7" x14ac:dyDescent="0.2">
      <c r="A31" t="s">
        <v>29</v>
      </c>
      <c r="B31">
        <v>2022</v>
      </c>
      <c r="C31">
        <v>2</v>
      </c>
      <c r="D31">
        <v>211448.4</v>
      </c>
      <c r="E31" s="1">
        <f t="shared" si="2"/>
        <v>1.0833563037007055</v>
      </c>
      <c r="F31" s="1">
        <f t="shared" si="3"/>
        <v>193683.78257344489</v>
      </c>
      <c r="G31" s="1">
        <f t="shared" si="1"/>
        <v>258793.08551062905</v>
      </c>
    </row>
    <row r="32" spans="1:7" x14ac:dyDescent="0.2">
      <c r="A32" t="s">
        <v>30</v>
      </c>
      <c r="B32">
        <v>2022</v>
      </c>
      <c r="C32">
        <v>3</v>
      </c>
      <c r="D32">
        <v>201785.8</v>
      </c>
      <c r="E32" s="1">
        <f t="shared" si="2"/>
        <v>0.95430279916991567</v>
      </c>
      <c r="F32" s="1">
        <f t="shared" si="3"/>
        <v>184832.9758636558</v>
      </c>
      <c r="G32" s="1">
        <f t="shared" si="1"/>
        <v>246966.96590861265</v>
      </c>
    </row>
    <row r="33" spans="1:7" x14ac:dyDescent="0.2">
      <c r="A33" t="s">
        <v>31</v>
      </c>
      <c r="B33">
        <v>2022</v>
      </c>
      <c r="C33">
        <v>4</v>
      </c>
      <c r="D33">
        <v>210287.9</v>
      </c>
      <c r="E33" s="1">
        <f t="shared" si="2"/>
        <v>1.0421342829872073</v>
      </c>
      <c r="F33" s="1">
        <f t="shared" si="3"/>
        <v>192620.78077406273</v>
      </c>
      <c r="G33" s="1">
        <f t="shared" si="1"/>
        <v>257372.74193869813</v>
      </c>
    </row>
    <row r="34" spans="1:7" x14ac:dyDescent="0.2">
      <c r="A34" t="s">
        <v>32</v>
      </c>
      <c r="B34">
        <v>2023</v>
      </c>
      <c r="C34">
        <v>1</v>
      </c>
      <c r="D34">
        <v>197680.1</v>
      </c>
      <c r="E34" s="1">
        <f t="shared" si="2"/>
        <v>0.94004505252085357</v>
      </c>
      <c r="F34" s="1">
        <f t="shared" si="3"/>
        <v>181072.21197936163</v>
      </c>
      <c r="G34" s="1">
        <f t="shared" si="1"/>
        <v>241941.97271319959</v>
      </c>
    </row>
    <row r="35" spans="1:7" x14ac:dyDescent="0.2">
      <c r="A35" t="s">
        <v>33</v>
      </c>
      <c r="B35">
        <v>2023</v>
      </c>
      <c r="C35">
        <v>2</v>
      </c>
      <c r="D35">
        <v>209833.60000000001</v>
      </c>
      <c r="E35" s="1">
        <f t="shared" si="2"/>
        <v>1.061480644738646</v>
      </c>
      <c r="F35" s="1">
        <f t="shared" si="3"/>
        <v>192204.64831610557</v>
      </c>
      <c r="G35" s="1">
        <f t="shared" si="1"/>
        <v>256816.721184947</v>
      </c>
    </row>
    <row r="36" spans="1:7" x14ac:dyDescent="0.2">
      <c r="A36" t="s">
        <v>34</v>
      </c>
      <c r="B36">
        <v>2023</v>
      </c>
      <c r="C36">
        <v>3</v>
      </c>
      <c r="D36">
        <v>198819.4</v>
      </c>
      <c r="E36" s="1">
        <f t="shared" si="2"/>
        <v>0.94750983636557728</v>
      </c>
      <c r="F36" s="1">
        <f t="shared" si="3"/>
        <v>182115.79487469653</v>
      </c>
      <c r="G36" s="1">
        <f t="shared" si="1"/>
        <v>243336.36946589322</v>
      </c>
    </row>
    <row r="37" spans="1:7" x14ac:dyDescent="0.2">
      <c r="A37" t="s">
        <v>35</v>
      </c>
      <c r="B37">
        <v>2023</v>
      </c>
      <c r="C37">
        <v>4</v>
      </c>
      <c r="D37">
        <v>207795</v>
      </c>
      <c r="E37" s="1">
        <f t="shared" si="2"/>
        <v>1.0451444879121454</v>
      </c>
      <c r="F37" s="1">
        <f t="shared" si="3"/>
        <v>190337.31917502801</v>
      </c>
      <c r="G37" s="1">
        <f>G38/E38</f>
        <v>254321.66525583158</v>
      </c>
    </row>
    <row r="38" spans="1:7" x14ac:dyDescent="0.2">
      <c r="A38" t="s">
        <v>36</v>
      </c>
      <c r="B38">
        <v>2024</v>
      </c>
      <c r="C38">
        <v>1</v>
      </c>
      <c r="D38">
        <v>197194.9</v>
      </c>
      <c r="E38" s="1">
        <f t="shared" si="2"/>
        <v>0.94898770422772438</v>
      </c>
      <c r="F38" s="1">
        <f t="shared" si="3"/>
        <v>180627.77555276945</v>
      </c>
      <c r="G38" s="4">
        <v>241348.13324650342</v>
      </c>
    </row>
    <row r="39" spans="1:7" x14ac:dyDescent="0.2">
      <c r="A39" t="s">
        <v>37</v>
      </c>
      <c r="B39">
        <v>2024</v>
      </c>
      <c r="C39">
        <v>2</v>
      </c>
      <c r="D39">
        <v>211997.6</v>
      </c>
      <c r="E39" s="1">
        <f t="shared" si="2"/>
        <v>1.0750663429936576</v>
      </c>
      <c r="F39" s="1">
        <f t="shared" si="3"/>
        <v>194186.84210659502</v>
      </c>
      <c r="G39" s="1">
        <f>G38*E39</f>
        <v>259465.25499766442</v>
      </c>
    </row>
    <row r="40" spans="1:7" x14ac:dyDescent="0.2">
      <c r="A40" t="s">
        <v>38</v>
      </c>
      <c r="B40">
        <v>2024</v>
      </c>
      <c r="C40">
        <v>3</v>
      </c>
      <c r="D40">
        <v>202171.4</v>
      </c>
      <c r="E40" s="1">
        <f t="shared" si="2"/>
        <v>0.95364947527707855</v>
      </c>
      <c r="F40" s="1">
        <f t="shared" si="3"/>
        <v>185186.18008066725</v>
      </c>
      <c r="G40" s="1">
        <f t="shared" ref="G40:G43" si="4">G39*E40</f>
        <v>247438.90428115605</v>
      </c>
    </row>
    <row r="41" spans="1:7" x14ac:dyDescent="0.2">
      <c r="A41" t="s">
        <v>39</v>
      </c>
      <c r="B41">
        <v>2024</v>
      </c>
      <c r="C41">
        <v>4</v>
      </c>
      <c r="D41">
        <v>211687.8</v>
      </c>
      <c r="E41" s="1">
        <f t="shared" si="2"/>
        <v>1.0470709506883762</v>
      </c>
      <c r="F41" s="1">
        <f t="shared" si="3"/>
        <v>193903.06963141309</v>
      </c>
      <c r="G41" s="1">
        <f t="shared" si="4"/>
        <v>259086.08874296019</v>
      </c>
    </row>
    <row r="42" spans="1:7" x14ac:dyDescent="0.2">
      <c r="A42" t="s">
        <v>40</v>
      </c>
      <c r="B42">
        <v>2025</v>
      </c>
      <c r="C42">
        <v>1</v>
      </c>
      <c r="D42">
        <v>201634.6</v>
      </c>
      <c r="E42" s="1">
        <f t="shared" si="2"/>
        <v>0.95250930851943294</v>
      </c>
      <c r="F42" s="1">
        <f t="shared" si="3"/>
        <v>184694.47877441274</v>
      </c>
      <c r="G42" s="1">
        <f t="shared" si="4"/>
        <v>246781.91123556145</v>
      </c>
    </row>
    <row r="43" spans="1:7" x14ac:dyDescent="0.2">
      <c r="A43" t="s">
        <v>41</v>
      </c>
      <c r="B43">
        <v>2025</v>
      </c>
      <c r="C43">
        <v>2</v>
      </c>
      <c r="D43">
        <v>215735.1</v>
      </c>
      <c r="E43" s="1">
        <f t="shared" si="2"/>
        <v>1.069930954310421</v>
      </c>
      <c r="F43" s="1">
        <f t="shared" si="3"/>
        <v>197610.33993097322</v>
      </c>
      <c r="G43" s="1">
        <f t="shared" si="4"/>
        <v>264039.60579481383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32D8A-57B6-5D4E-874E-1377484B96AF}">
  <dimension ref="A1:J43"/>
  <sheetViews>
    <sheetView workbookViewId="0">
      <selection activeCell="I38" sqref="I38"/>
    </sheetView>
  </sheetViews>
  <sheetFormatPr baseColWidth="10" defaultRowHeight="16" x14ac:dyDescent="0.2"/>
  <cols>
    <col min="1" max="1" width="8.1640625" bestFit="1" customWidth="1"/>
    <col min="2" max="2" width="5.1640625" bestFit="1" customWidth="1"/>
    <col min="3" max="3" width="7.1640625" bestFit="1" customWidth="1"/>
    <col min="4" max="4" width="9.6640625" bestFit="1" customWidth="1"/>
    <col min="5" max="5" width="15.5" bestFit="1" customWidth="1"/>
    <col min="6" max="6" width="36.5" bestFit="1" customWidth="1"/>
    <col min="7" max="7" width="12.33203125" bestFit="1" customWidth="1"/>
    <col min="8" max="8" width="7.6640625" bestFit="1" customWidth="1"/>
    <col min="9" max="9" width="9.5" bestFit="1" customWidth="1"/>
    <col min="10" max="10" width="8.33203125" bestFit="1" customWidth="1"/>
  </cols>
  <sheetData>
    <row r="1" spans="1:10" x14ac:dyDescent="0.2">
      <c r="A1" s="3" t="s">
        <v>50</v>
      </c>
      <c r="B1" s="3" t="s">
        <v>43</v>
      </c>
      <c r="C1" s="3" t="s">
        <v>44</v>
      </c>
      <c r="D1" s="3" t="s">
        <v>42</v>
      </c>
      <c r="E1" s="3" t="s">
        <v>45</v>
      </c>
      <c r="F1" s="3" t="s">
        <v>51</v>
      </c>
      <c r="I1" s="3" t="s">
        <v>46</v>
      </c>
    </row>
    <row r="2" spans="1:10" x14ac:dyDescent="0.2">
      <c r="A2" t="s">
        <v>0</v>
      </c>
      <c r="B2" s="2">
        <v>2015</v>
      </c>
      <c r="C2" s="2">
        <v>1</v>
      </c>
      <c r="D2" s="1">
        <v>152367.13305746697</v>
      </c>
      <c r="E2" s="2"/>
      <c r="F2" s="1"/>
      <c r="H2" s="3" t="s">
        <v>44</v>
      </c>
      <c r="I2" s="3" t="s">
        <v>47</v>
      </c>
      <c r="J2" s="3" t="s">
        <v>48</v>
      </c>
    </row>
    <row r="3" spans="1:10" x14ac:dyDescent="0.2">
      <c r="A3" t="s">
        <v>1</v>
      </c>
      <c r="B3" s="2">
        <v>2015</v>
      </c>
      <c r="C3" s="2">
        <v>2</v>
      </c>
      <c r="D3" s="1">
        <v>161513.25366654154</v>
      </c>
      <c r="E3" s="2">
        <f>D3-D2</f>
        <v>9146.1206090745691</v>
      </c>
      <c r="F3" s="1">
        <f>E3-_xlfn.XLOOKUP(C3,$H$3:$H$6,$J$3:$J$6)</f>
        <v>-356.62709029989674</v>
      </c>
      <c r="H3">
        <v>1</v>
      </c>
      <c r="I3" s="1">
        <f>AVERAGEIF($C$3:$C$43,1,$E$3:$E$43)</f>
        <v>-6427.7763178445048</v>
      </c>
      <c r="J3" s="1">
        <f>I3-$I$8</f>
        <v>-7299.4948342867428</v>
      </c>
    </row>
    <row r="4" spans="1:10" x14ac:dyDescent="0.2">
      <c r="A4" t="s">
        <v>2</v>
      </c>
      <c r="B4" s="2">
        <v>2015</v>
      </c>
      <c r="C4" s="2">
        <v>3</v>
      </c>
      <c r="D4" s="1">
        <v>155677.23181009715</v>
      </c>
      <c r="E4" s="2">
        <f t="shared" ref="E4:E43" si="0">D4-D3</f>
        <v>-5836.0218564443931</v>
      </c>
      <c r="F4" s="1">
        <f t="shared" ref="F4:F43" si="1">E4-_xlfn.XLOOKUP(C4,$H$3:$H$6,$J$3:$J$6)</f>
        <v>1646.4045498842406</v>
      </c>
      <c r="H4">
        <v>2</v>
      </c>
      <c r="I4" s="1">
        <f>AVERAGEIF($C$3:$C$43,2,$E$3:$E$43)</f>
        <v>10374.466215816705</v>
      </c>
      <c r="J4" s="1">
        <f t="shared" ref="J4:J6" si="2">I4-$I$8</f>
        <v>9502.7476993744658</v>
      </c>
    </row>
    <row r="5" spans="1:10" x14ac:dyDescent="0.2">
      <c r="A5" t="s">
        <v>3</v>
      </c>
      <c r="B5" s="2">
        <v>2015</v>
      </c>
      <c r="C5" s="2">
        <v>4</v>
      </c>
      <c r="D5" s="1">
        <v>160606.15269116178</v>
      </c>
      <c r="E5" s="2">
        <f t="shared" si="0"/>
        <v>4928.9208810646378</v>
      </c>
      <c r="F5" s="1">
        <f t="shared" si="1"/>
        <v>-350.25266017627291</v>
      </c>
      <c r="H5">
        <v>3</v>
      </c>
      <c r="I5" s="1">
        <f>AVERAGEIF($C$3:$C$43,3,$E$3:$E$43)</f>
        <v>-6610.7078898863956</v>
      </c>
      <c r="J5" s="1">
        <f t="shared" si="2"/>
        <v>-7482.4264063286337</v>
      </c>
    </row>
    <row r="6" spans="1:10" x14ac:dyDescent="0.2">
      <c r="A6" t="s">
        <v>4</v>
      </c>
      <c r="B6" s="2">
        <v>2016</v>
      </c>
      <c r="C6" s="2">
        <v>1</v>
      </c>
      <c r="D6" s="1">
        <v>155594.5182706881</v>
      </c>
      <c r="E6" s="2">
        <f t="shared" si="0"/>
        <v>-5011.6344204736815</v>
      </c>
      <c r="F6" s="1">
        <f t="shared" si="1"/>
        <v>2287.8604138130613</v>
      </c>
      <c r="H6">
        <v>4</v>
      </c>
      <c r="I6" s="1">
        <f>AVERAGEIF($C$3:$C$43,4,$E$3:$E$43)</f>
        <v>6150.8920576831497</v>
      </c>
      <c r="J6" s="1">
        <f t="shared" si="2"/>
        <v>5279.1735412409107</v>
      </c>
    </row>
    <row r="7" spans="1:10" x14ac:dyDescent="0.2">
      <c r="A7" t="s">
        <v>5</v>
      </c>
      <c r="B7" s="2">
        <v>2016</v>
      </c>
      <c r="C7" s="2">
        <v>2</v>
      </c>
      <c r="D7" s="1">
        <v>165490.19025626802</v>
      </c>
      <c r="E7" s="2">
        <f t="shared" si="0"/>
        <v>9895.6719855799165</v>
      </c>
      <c r="F7" s="1">
        <f t="shared" si="1"/>
        <v>392.9242862054507</v>
      </c>
    </row>
    <row r="8" spans="1:10" x14ac:dyDescent="0.2">
      <c r="A8" t="s">
        <v>6</v>
      </c>
      <c r="B8" s="2">
        <v>2016</v>
      </c>
      <c r="C8" s="2">
        <v>3</v>
      </c>
      <c r="D8" s="1">
        <v>159100.91283168335</v>
      </c>
      <c r="E8" s="2">
        <f t="shared" si="0"/>
        <v>-6389.2774245846667</v>
      </c>
      <c r="F8" s="1">
        <f t="shared" si="1"/>
        <v>1093.1489817439669</v>
      </c>
      <c r="H8" s="3" t="s">
        <v>49</v>
      </c>
      <c r="I8" s="1">
        <f>AVERAGE(I3:I6)</f>
        <v>871.71851644223852</v>
      </c>
      <c r="J8" s="1">
        <f>AVERAGE(J3:J6)</f>
        <v>0</v>
      </c>
    </row>
    <row r="9" spans="1:10" x14ac:dyDescent="0.2">
      <c r="A9" t="s">
        <v>7</v>
      </c>
      <c r="B9" s="2">
        <v>2016</v>
      </c>
      <c r="C9" s="2">
        <v>4</v>
      </c>
      <c r="D9" s="1">
        <v>164126.37864136056</v>
      </c>
      <c r="E9" s="2">
        <f t="shared" si="0"/>
        <v>5025.4658096772037</v>
      </c>
      <c r="F9" s="1">
        <f t="shared" si="1"/>
        <v>-253.70773156370706</v>
      </c>
    </row>
    <row r="10" spans="1:10" x14ac:dyDescent="0.2">
      <c r="A10" t="s">
        <v>8</v>
      </c>
      <c r="B10" s="2">
        <v>2017</v>
      </c>
      <c r="C10" s="2">
        <v>1</v>
      </c>
      <c r="D10" s="1">
        <v>160369.00390541423</v>
      </c>
      <c r="E10" s="2">
        <f t="shared" si="0"/>
        <v>-3757.3747359463305</v>
      </c>
      <c r="F10" s="1">
        <f t="shared" si="1"/>
        <v>3542.1200983404124</v>
      </c>
    </row>
    <row r="11" spans="1:10" x14ac:dyDescent="0.2">
      <c r="A11" t="s">
        <v>9</v>
      </c>
      <c r="B11" s="2">
        <v>2017</v>
      </c>
      <c r="C11" s="2">
        <v>2</v>
      </c>
      <c r="D11" s="1">
        <v>170204.12921375231</v>
      </c>
      <c r="E11" s="2">
        <f t="shared" si="0"/>
        <v>9835.1253083380871</v>
      </c>
      <c r="F11" s="1">
        <f t="shared" si="1"/>
        <v>332.37760896362124</v>
      </c>
    </row>
    <row r="12" spans="1:10" x14ac:dyDescent="0.2">
      <c r="A12" t="s">
        <v>10</v>
      </c>
      <c r="B12" s="2">
        <v>2017</v>
      </c>
      <c r="C12" s="2">
        <v>3</v>
      </c>
      <c r="D12" s="1">
        <v>163404.21524745025</v>
      </c>
      <c r="E12" s="2">
        <f t="shared" si="0"/>
        <v>-6799.9139663020615</v>
      </c>
      <c r="F12" s="1">
        <f t="shared" si="1"/>
        <v>682.51244002657222</v>
      </c>
    </row>
    <row r="13" spans="1:10" x14ac:dyDescent="0.2">
      <c r="A13" t="s">
        <v>11</v>
      </c>
      <c r="B13" s="2">
        <v>2017</v>
      </c>
      <c r="C13" s="2">
        <v>4</v>
      </c>
      <c r="D13" s="1">
        <v>168292.83274275632</v>
      </c>
      <c r="E13" s="2">
        <f t="shared" si="0"/>
        <v>4888.617495306069</v>
      </c>
      <c r="F13" s="1">
        <f t="shared" si="1"/>
        <v>-390.55604593484168</v>
      </c>
    </row>
    <row r="14" spans="1:10" x14ac:dyDescent="0.2">
      <c r="A14" t="s">
        <v>12</v>
      </c>
      <c r="B14" s="2">
        <v>2018</v>
      </c>
      <c r="C14" s="2">
        <v>1</v>
      </c>
      <c r="D14" s="1">
        <v>164111.81446332508</v>
      </c>
      <c r="E14" s="2">
        <f t="shared" si="0"/>
        <v>-4181.0182794312423</v>
      </c>
      <c r="F14" s="1">
        <f t="shared" si="1"/>
        <v>3118.4765548555006</v>
      </c>
    </row>
    <row r="15" spans="1:10" x14ac:dyDescent="0.2">
      <c r="A15" t="s">
        <v>13</v>
      </c>
      <c r="B15" s="2">
        <v>2018</v>
      </c>
      <c r="C15" s="2">
        <v>2</v>
      </c>
      <c r="D15" s="1">
        <v>174628.34178679492</v>
      </c>
      <c r="E15" s="2">
        <f t="shared" si="0"/>
        <v>10516.52732346984</v>
      </c>
      <c r="F15" s="1">
        <f t="shared" si="1"/>
        <v>1013.7796240953739</v>
      </c>
    </row>
    <row r="16" spans="1:10" x14ac:dyDescent="0.2">
      <c r="A16" t="s">
        <v>14</v>
      </c>
      <c r="B16" s="2">
        <v>2018</v>
      </c>
      <c r="C16" s="2">
        <v>3</v>
      </c>
      <c r="D16" s="1">
        <v>166744.35834219141</v>
      </c>
      <c r="E16" s="2">
        <f t="shared" si="0"/>
        <v>-7883.9834446035093</v>
      </c>
      <c r="F16" s="1">
        <f t="shared" si="1"/>
        <v>-401.55703827487559</v>
      </c>
    </row>
    <row r="17" spans="1:6" x14ac:dyDescent="0.2">
      <c r="A17" t="s">
        <v>15</v>
      </c>
      <c r="B17" s="2">
        <v>2018</v>
      </c>
      <c r="C17" s="2">
        <v>4</v>
      </c>
      <c r="D17" s="1">
        <v>171442.54233978826</v>
      </c>
      <c r="E17" s="2">
        <f t="shared" si="0"/>
        <v>4698.1839975968469</v>
      </c>
      <c r="F17" s="1">
        <f t="shared" si="1"/>
        <v>-580.98954364406382</v>
      </c>
    </row>
    <row r="18" spans="1:6" x14ac:dyDescent="0.2">
      <c r="A18" t="s">
        <v>16</v>
      </c>
      <c r="B18" s="2">
        <v>2019</v>
      </c>
      <c r="C18" s="2">
        <v>1</v>
      </c>
      <c r="D18" s="1">
        <v>168101.30006179912</v>
      </c>
      <c r="E18" s="2">
        <f t="shared" si="0"/>
        <v>-3341.2422779891349</v>
      </c>
      <c r="F18" s="1">
        <f t="shared" si="1"/>
        <v>3958.252556297608</v>
      </c>
    </row>
    <row r="19" spans="1:6" x14ac:dyDescent="0.2">
      <c r="A19" t="s">
        <v>17</v>
      </c>
      <c r="B19" s="2">
        <v>2019</v>
      </c>
      <c r="C19" s="2">
        <v>2</v>
      </c>
      <c r="D19" s="1">
        <v>178613.98024390108</v>
      </c>
      <c r="E19" s="2">
        <f t="shared" si="0"/>
        <v>10512.680182101962</v>
      </c>
      <c r="F19" s="1">
        <f t="shared" si="1"/>
        <v>1009.9324827274959</v>
      </c>
    </row>
    <row r="20" spans="1:6" x14ac:dyDescent="0.2">
      <c r="A20" t="s">
        <v>18</v>
      </c>
      <c r="B20" s="2">
        <v>2019</v>
      </c>
      <c r="C20" s="2">
        <v>3</v>
      </c>
      <c r="D20" s="1">
        <v>170906.96530221929</v>
      </c>
      <c r="E20" s="2">
        <f t="shared" si="0"/>
        <v>-7707.0149416817876</v>
      </c>
      <c r="F20" s="1">
        <f t="shared" si="1"/>
        <v>-224.58853535315393</v>
      </c>
    </row>
    <row r="21" spans="1:6" x14ac:dyDescent="0.2">
      <c r="A21" t="s">
        <v>19</v>
      </c>
      <c r="B21" s="2">
        <v>2019</v>
      </c>
      <c r="C21" s="2">
        <v>4</v>
      </c>
      <c r="D21" s="1">
        <v>175487.6282908883</v>
      </c>
      <c r="E21" s="2">
        <f t="shared" si="0"/>
        <v>4580.6629886690062</v>
      </c>
      <c r="F21" s="1">
        <f t="shared" si="1"/>
        <v>-698.51055257190455</v>
      </c>
    </row>
    <row r="22" spans="1:6" x14ac:dyDescent="0.2">
      <c r="A22" t="s">
        <v>20</v>
      </c>
      <c r="B22" s="2">
        <v>2020</v>
      </c>
      <c r="C22" s="2">
        <v>1</v>
      </c>
      <c r="D22" s="1">
        <v>167682.694441534</v>
      </c>
      <c r="E22" s="2">
        <f t="shared" si="0"/>
        <v>-7804.9338493543037</v>
      </c>
      <c r="F22" s="1">
        <f t="shared" si="1"/>
        <v>-505.43901506756083</v>
      </c>
    </row>
    <row r="23" spans="1:6" x14ac:dyDescent="0.2">
      <c r="A23" t="s">
        <v>21</v>
      </c>
      <c r="B23" s="2">
        <v>2020</v>
      </c>
      <c r="C23" s="2">
        <v>2</v>
      </c>
      <c r="D23" s="1">
        <v>162710.3558221749</v>
      </c>
      <c r="E23" s="2">
        <f t="shared" si="0"/>
        <v>-4972.3386193590995</v>
      </c>
      <c r="F23" s="1">
        <f t="shared" si="1"/>
        <v>-14475.086318733565</v>
      </c>
    </row>
    <row r="24" spans="1:6" x14ac:dyDescent="0.2">
      <c r="A24" t="s">
        <v>22</v>
      </c>
      <c r="B24" s="2">
        <v>2020</v>
      </c>
      <c r="C24" s="2">
        <v>3</v>
      </c>
      <c r="D24" s="1">
        <v>164442.48542375327</v>
      </c>
      <c r="E24" s="2">
        <f t="shared" si="0"/>
        <v>1732.1296015783737</v>
      </c>
      <c r="F24" s="1">
        <f t="shared" si="1"/>
        <v>9214.5560079070074</v>
      </c>
    </row>
    <row r="25" spans="1:6" x14ac:dyDescent="0.2">
      <c r="A25" t="s">
        <v>23</v>
      </c>
      <c r="B25" s="2">
        <v>2020</v>
      </c>
      <c r="C25" s="2">
        <v>4</v>
      </c>
      <c r="D25" s="1">
        <v>170306.81124883259</v>
      </c>
      <c r="E25" s="2">
        <f t="shared" si="0"/>
        <v>5864.3258250793151</v>
      </c>
      <c r="F25" s="1">
        <f t="shared" si="1"/>
        <v>585.1522838384044</v>
      </c>
    </row>
    <row r="26" spans="1:6" x14ac:dyDescent="0.2">
      <c r="A26" t="s">
        <v>24</v>
      </c>
      <c r="B26" s="2">
        <v>2021</v>
      </c>
      <c r="C26" s="2">
        <v>1</v>
      </c>
      <c r="D26" s="1">
        <v>165839.73052911952</v>
      </c>
      <c r="E26" s="2">
        <f t="shared" si="0"/>
        <v>-4467.0807197130634</v>
      </c>
      <c r="F26" s="1">
        <f t="shared" si="1"/>
        <v>2832.4141145736794</v>
      </c>
    </row>
    <row r="27" spans="1:6" x14ac:dyDescent="0.2">
      <c r="A27" t="s">
        <v>25</v>
      </c>
      <c r="B27" s="2">
        <v>2021</v>
      </c>
      <c r="C27" s="2">
        <v>2</v>
      </c>
      <c r="D27" s="1">
        <v>182515.16478812223</v>
      </c>
      <c r="E27" s="2">
        <f t="shared" si="0"/>
        <v>16675.434259002708</v>
      </c>
      <c r="F27" s="1">
        <f t="shared" si="1"/>
        <v>7172.6865596282423</v>
      </c>
    </row>
    <row r="28" spans="1:6" x14ac:dyDescent="0.2">
      <c r="A28" t="s">
        <v>26</v>
      </c>
      <c r="B28" s="2">
        <v>2021</v>
      </c>
      <c r="C28" s="2">
        <v>3</v>
      </c>
      <c r="D28" s="1">
        <v>177232.49009842222</v>
      </c>
      <c r="E28" s="2">
        <f t="shared" si="0"/>
        <v>-5282.6746897000121</v>
      </c>
      <c r="F28" s="1">
        <f t="shared" si="1"/>
        <v>2199.7517166286216</v>
      </c>
    </row>
    <row r="29" spans="1:6" x14ac:dyDescent="0.2">
      <c r="A29" t="s">
        <v>27</v>
      </c>
      <c r="B29" s="2">
        <v>2021</v>
      </c>
      <c r="C29" s="2">
        <v>4</v>
      </c>
      <c r="D29" s="1">
        <v>184029.01491637639</v>
      </c>
      <c r="E29" s="2">
        <f t="shared" si="0"/>
        <v>6796.5248179541668</v>
      </c>
      <c r="F29" s="1">
        <f t="shared" si="1"/>
        <v>1517.3512767132561</v>
      </c>
    </row>
    <row r="30" spans="1:6" x14ac:dyDescent="0.2">
      <c r="A30" t="s">
        <v>28</v>
      </c>
      <c r="B30" s="2">
        <v>2022</v>
      </c>
      <c r="C30" s="2">
        <v>1</v>
      </c>
      <c r="D30" s="1">
        <v>178781.2392947991</v>
      </c>
      <c r="E30" s="2">
        <f t="shared" si="0"/>
        <v>-5247.7756215772824</v>
      </c>
      <c r="F30" s="1">
        <f t="shared" si="1"/>
        <v>2051.7192127094604</v>
      </c>
    </row>
    <row r="31" spans="1:6" x14ac:dyDescent="0.2">
      <c r="A31" t="s">
        <v>29</v>
      </c>
      <c r="B31" s="2">
        <v>2022</v>
      </c>
      <c r="C31" s="2">
        <v>2</v>
      </c>
      <c r="D31" s="1">
        <v>193683.78257344489</v>
      </c>
      <c r="E31" s="2">
        <f t="shared" si="0"/>
        <v>14902.543278645782</v>
      </c>
      <c r="F31" s="1">
        <f t="shared" si="1"/>
        <v>5399.7955792713165</v>
      </c>
    </row>
    <row r="32" spans="1:6" x14ac:dyDescent="0.2">
      <c r="A32" t="s">
        <v>30</v>
      </c>
      <c r="B32" s="2">
        <v>2022</v>
      </c>
      <c r="C32" s="2">
        <v>3</v>
      </c>
      <c r="D32" s="1">
        <v>184832.9758636558</v>
      </c>
      <c r="E32" s="2">
        <f t="shared" si="0"/>
        <v>-8850.8067097890889</v>
      </c>
      <c r="F32" s="1">
        <f t="shared" si="1"/>
        <v>-1368.3803034604553</v>
      </c>
    </row>
    <row r="33" spans="1:6" x14ac:dyDescent="0.2">
      <c r="A33" t="s">
        <v>31</v>
      </c>
      <c r="B33" s="2">
        <v>2022</v>
      </c>
      <c r="C33" s="2">
        <v>4</v>
      </c>
      <c r="D33" s="1">
        <v>192620.78077406273</v>
      </c>
      <c r="E33" s="2">
        <f t="shared" si="0"/>
        <v>7787.804910406936</v>
      </c>
      <c r="F33" s="1">
        <f t="shared" si="1"/>
        <v>2508.6313691660253</v>
      </c>
    </row>
    <row r="34" spans="1:6" x14ac:dyDescent="0.2">
      <c r="A34" t="s">
        <v>32</v>
      </c>
      <c r="B34" s="2">
        <v>2023</v>
      </c>
      <c r="C34" s="2">
        <v>1</v>
      </c>
      <c r="D34" s="1">
        <v>181072.21197936163</v>
      </c>
      <c r="E34" s="2">
        <f t="shared" si="0"/>
        <v>-11548.568794701103</v>
      </c>
      <c r="F34" s="1">
        <f t="shared" si="1"/>
        <v>-4249.07396041436</v>
      </c>
    </row>
    <row r="35" spans="1:6" x14ac:dyDescent="0.2">
      <c r="A35" t="s">
        <v>33</v>
      </c>
      <c r="B35" s="2">
        <v>2023</v>
      </c>
      <c r="C35" s="2">
        <v>2</v>
      </c>
      <c r="D35" s="1">
        <v>192204.64831610557</v>
      </c>
      <c r="E35" s="2">
        <f t="shared" si="0"/>
        <v>11132.436336743936</v>
      </c>
      <c r="F35" s="1">
        <f t="shared" si="1"/>
        <v>1629.6886373694706</v>
      </c>
    </row>
    <row r="36" spans="1:6" x14ac:dyDescent="0.2">
      <c r="A36" t="s">
        <v>34</v>
      </c>
      <c r="B36" s="2">
        <v>2023</v>
      </c>
      <c r="C36" s="2">
        <v>3</v>
      </c>
      <c r="D36" s="1">
        <v>182115.79487469653</v>
      </c>
      <c r="E36" s="2">
        <f t="shared" si="0"/>
        <v>-10088.853441409039</v>
      </c>
      <c r="F36" s="1">
        <f t="shared" si="1"/>
        <v>-2606.4270350804054</v>
      </c>
    </row>
    <row r="37" spans="1:6" x14ac:dyDescent="0.2">
      <c r="A37" t="s">
        <v>35</v>
      </c>
      <c r="B37" s="2">
        <v>2023</v>
      </c>
      <c r="C37" s="2">
        <v>4</v>
      </c>
      <c r="D37" s="1">
        <v>190337.31917502801</v>
      </c>
      <c r="E37" s="2">
        <f t="shared" si="0"/>
        <v>8221.5243003314827</v>
      </c>
      <c r="F37" s="1">
        <f t="shared" si="1"/>
        <v>2942.350759090572</v>
      </c>
    </row>
    <row r="38" spans="1:6" x14ac:dyDescent="0.2">
      <c r="A38" t="s">
        <v>36</v>
      </c>
      <c r="B38" s="2">
        <v>2024</v>
      </c>
      <c r="C38" s="2">
        <v>1</v>
      </c>
      <c r="D38" s="1">
        <v>180627.77555276945</v>
      </c>
      <c r="E38" s="2">
        <f t="shared" si="0"/>
        <v>-9709.5436222585558</v>
      </c>
      <c r="F38" s="1">
        <f t="shared" si="1"/>
        <v>-2410.048787971813</v>
      </c>
    </row>
    <row r="39" spans="1:6" x14ac:dyDescent="0.2">
      <c r="A39" t="s">
        <v>37</v>
      </c>
      <c r="B39" s="2">
        <v>2024</v>
      </c>
      <c r="C39" s="2">
        <v>2</v>
      </c>
      <c r="D39" s="1">
        <v>194186.84210659502</v>
      </c>
      <c r="E39" s="2">
        <f t="shared" si="0"/>
        <v>13559.066553825571</v>
      </c>
      <c r="F39" s="1">
        <f t="shared" si="1"/>
        <v>4056.3188544511049</v>
      </c>
    </row>
    <row r="40" spans="1:6" x14ac:dyDescent="0.2">
      <c r="A40" t="s">
        <v>38</v>
      </c>
      <c r="B40" s="2">
        <v>2024</v>
      </c>
      <c r="C40" s="2">
        <v>3</v>
      </c>
      <c r="D40" s="1">
        <v>185186.18008066725</v>
      </c>
      <c r="E40" s="2">
        <f t="shared" si="0"/>
        <v>-9000.6620259277697</v>
      </c>
      <c r="F40" s="1">
        <f t="shared" si="1"/>
        <v>-1518.235619599136</v>
      </c>
    </row>
    <row r="41" spans="1:6" x14ac:dyDescent="0.2">
      <c r="A41" t="s">
        <v>39</v>
      </c>
      <c r="B41" s="2">
        <v>2024</v>
      </c>
      <c r="C41" s="2">
        <v>4</v>
      </c>
      <c r="D41" s="1">
        <v>193903.06963141309</v>
      </c>
      <c r="E41" s="2">
        <f t="shared" si="0"/>
        <v>8716.8895507458365</v>
      </c>
      <c r="F41" s="1">
        <f t="shared" si="1"/>
        <v>3437.7160095049258</v>
      </c>
    </row>
    <row r="42" spans="1:6" x14ac:dyDescent="0.2">
      <c r="A42" t="s">
        <v>40</v>
      </c>
      <c r="B42" s="2">
        <v>2025</v>
      </c>
      <c r="C42" s="2">
        <v>1</v>
      </c>
      <c r="D42" s="1">
        <v>184694.47877441274</v>
      </c>
      <c r="E42" s="2">
        <f t="shared" si="0"/>
        <v>-9208.5908570003521</v>
      </c>
      <c r="F42" s="1">
        <f t="shared" si="1"/>
        <v>-1909.0960227136093</v>
      </c>
    </row>
    <row r="43" spans="1:6" x14ac:dyDescent="0.2">
      <c r="A43" t="s">
        <v>41</v>
      </c>
      <c r="B43" s="2">
        <v>2025</v>
      </c>
      <c r="C43" s="2">
        <v>2</v>
      </c>
      <c r="D43" s="1">
        <v>197610.33993097322</v>
      </c>
      <c r="E43" s="2">
        <f t="shared" si="0"/>
        <v>12915.861156560481</v>
      </c>
      <c r="F43" s="1">
        <f t="shared" si="1"/>
        <v>3413.1134571860148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069C6-B362-0A4D-BB42-FED12E010EE4}">
  <dimension ref="A1:J43"/>
  <sheetViews>
    <sheetView topLeftCell="A3" workbookViewId="0">
      <selection activeCell="L8" sqref="L8"/>
    </sheetView>
  </sheetViews>
  <sheetFormatPr baseColWidth="10" defaultRowHeight="16" x14ac:dyDescent="0.2"/>
  <cols>
    <col min="1" max="1" width="8.1640625" bestFit="1" customWidth="1"/>
    <col min="2" max="2" width="5.1640625" bestFit="1" customWidth="1"/>
    <col min="3" max="3" width="7.1640625" bestFit="1" customWidth="1"/>
    <col min="4" max="4" width="9.6640625" bestFit="1" customWidth="1"/>
    <col min="5" max="5" width="15.5" bestFit="1" customWidth="1"/>
    <col min="6" max="6" width="36.5" bestFit="1" customWidth="1"/>
    <col min="7" max="7" width="12.33203125" bestFit="1" customWidth="1"/>
    <col min="8" max="8" width="7.6640625" bestFit="1" customWidth="1"/>
    <col min="9" max="9" width="9.5" bestFit="1" customWidth="1"/>
    <col min="10" max="10" width="8.33203125" bestFit="1" customWidth="1"/>
  </cols>
  <sheetData>
    <row r="1" spans="1:10" x14ac:dyDescent="0.2">
      <c r="A1" s="3" t="s">
        <v>50</v>
      </c>
      <c r="B1" s="3" t="s">
        <v>43</v>
      </c>
      <c r="C1" s="3" t="s">
        <v>44</v>
      </c>
      <c r="D1" s="3" t="s">
        <v>42</v>
      </c>
      <c r="E1" s="3" t="s">
        <v>45</v>
      </c>
      <c r="F1" s="3" t="s">
        <v>51</v>
      </c>
      <c r="I1" s="3" t="s">
        <v>46</v>
      </c>
    </row>
    <row r="2" spans="1:10" x14ac:dyDescent="0.2">
      <c r="A2" t="s">
        <v>0</v>
      </c>
      <c r="B2" s="2">
        <v>2015</v>
      </c>
      <c r="C2" s="2">
        <v>1</v>
      </c>
      <c r="D2" s="1">
        <v>203587.31108216554</v>
      </c>
      <c r="E2" s="2"/>
      <c r="F2" s="1"/>
      <c r="H2" s="3" t="s">
        <v>44</v>
      </c>
      <c r="I2" s="3" t="s">
        <v>47</v>
      </c>
      <c r="J2" s="3" t="s">
        <v>48</v>
      </c>
    </row>
    <row r="3" spans="1:10" x14ac:dyDescent="0.2">
      <c r="A3" t="s">
        <v>1</v>
      </c>
      <c r="B3" s="2">
        <v>2015</v>
      </c>
      <c r="C3" s="2">
        <v>2</v>
      </c>
      <c r="D3" s="1">
        <v>215808.01816164039</v>
      </c>
      <c r="E3" s="2">
        <f>D3-D2</f>
        <v>12220.707079474843</v>
      </c>
      <c r="F3" s="1">
        <f>E3-_xlfn.XLOOKUP(C3,$H$3:$H$6,$J$3:$J$6)</f>
        <v>-476.51188885878037</v>
      </c>
      <c r="H3">
        <v>1</v>
      </c>
      <c r="I3" s="1">
        <f>AVERAGEIF($C$3:$C$43,1,$E$3:$E$43)</f>
        <v>-8588.5562754142484</v>
      </c>
      <c r="J3" s="1">
        <f>I3-$I$8</f>
        <v>-9753.3142203975331</v>
      </c>
    </row>
    <row r="4" spans="1:10" x14ac:dyDescent="0.2">
      <c r="A4" t="s">
        <v>2</v>
      </c>
      <c r="B4" s="2">
        <v>2015</v>
      </c>
      <c r="C4" s="2">
        <v>3</v>
      </c>
      <c r="D4" s="1">
        <v>208010.14224622143</v>
      </c>
      <c r="E4" s="2">
        <f t="shared" ref="E4:E43" si="0">D4-D3</f>
        <v>-7797.8759154189611</v>
      </c>
      <c r="F4" s="1">
        <f t="shared" ref="F4:F43" si="1">E4-_xlfn.XLOOKUP(C4,$H$3:$H$6,$J$3:$J$6)</f>
        <v>2199.8646856337527</v>
      </c>
      <c r="H4">
        <v>2</v>
      </c>
      <c r="I4" s="1">
        <f>AVERAGEIF($C$3:$C$43,2,$E$3:$E$43)</f>
        <v>13861.976913316908</v>
      </c>
      <c r="J4" s="1">
        <f t="shared" ref="J4:J6" si="2">I4-$I$8</f>
        <v>12697.218968333624</v>
      </c>
    </row>
    <row r="5" spans="1:10" x14ac:dyDescent="0.2">
      <c r="A5" t="s">
        <v>3</v>
      </c>
      <c r="B5" s="2">
        <v>2015</v>
      </c>
      <c r="C5" s="2">
        <v>4</v>
      </c>
      <c r="D5" s="1">
        <v>214595.98348754883</v>
      </c>
      <c r="E5" s="2">
        <f t="shared" si="0"/>
        <v>6585.8412413274054</v>
      </c>
      <c r="F5" s="1">
        <f t="shared" si="1"/>
        <v>-467.99461178921592</v>
      </c>
      <c r="H5">
        <v>3</v>
      </c>
      <c r="I5" s="1">
        <f>AVERAGEIF($C$3:$C$43,3,$E$3:$E$43)</f>
        <v>-8832.9826560694291</v>
      </c>
      <c r="J5" s="1">
        <f t="shared" si="2"/>
        <v>-9997.7406010527138</v>
      </c>
    </row>
    <row r="6" spans="1:10" x14ac:dyDescent="0.2">
      <c r="A6" t="s">
        <v>4</v>
      </c>
      <c r="B6" s="2">
        <v>2016</v>
      </c>
      <c r="C6" s="2">
        <v>1</v>
      </c>
      <c r="D6" s="1">
        <v>207899.62348314916</v>
      </c>
      <c r="E6" s="2">
        <f t="shared" si="0"/>
        <v>-6696.3600043996703</v>
      </c>
      <c r="F6" s="1">
        <f t="shared" si="1"/>
        <v>3056.9542159978628</v>
      </c>
      <c r="H6">
        <v>4</v>
      </c>
      <c r="I6" s="1">
        <f>AVERAGEIF($C$3:$C$43,4,$E$3:$E$43)</f>
        <v>8218.5937980999061</v>
      </c>
      <c r="J6" s="1">
        <f t="shared" si="2"/>
        <v>7053.8358531166214</v>
      </c>
    </row>
    <row r="7" spans="1:10" x14ac:dyDescent="0.2">
      <c r="A7" t="s">
        <v>5</v>
      </c>
      <c r="B7" s="2">
        <v>2016</v>
      </c>
      <c r="C7" s="2">
        <v>2</v>
      </c>
      <c r="D7" s="1">
        <v>221121.85330705406</v>
      </c>
      <c r="E7" s="2">
        <f t="shared" si="0"/>
        <v>13222.229823904898</v>
      </c>
      <c r="F7" s="1">
        <f t="shared" si="1"/>
        <v>525.01085557127408</v>
      </c>
    </row>
    <row r="8" spans="1:10" x14ac:dyDescent="0.2">
      <c r="A8" t="s">
        <v>6</v>
      </c>
      <c r="B8" s="2">
        <v>2016</v>
      </c>
      <c r="C8" s="2">
        <v>3</v>
      </c>
      <c r="D8" s="1">
        <v>212584.73782468442</v>
      </c>
      <c r="E8" s="2">
        <f t="shared" si="0"/>
        <v>-8537.1154823696415</v>
      </c>
      <c r="F8" s="1">
        <f t="shared" si="1"/>
        <v>1460.6251186830723</v>
      </c>
      <c r="H8" s="3" t="s">
        <v>49</v>
      </c>
      <c r="I8" s="1">
        <f>AVERAGE(I3:I6)</f>
        <v>1164.7579449832842</v>
      </c>
      <c r="J8" s="1">
        <f>AVERAGE(J3:J6)</f>
        <v>0</v>
      </c>
    </row>
    <row r="9" spans="1:10" x14ac:dyDescent="0.2">
      <c r="A9" t="s">
        <v>7</v>
      </c>
      <c r="B9" s="2">
        <v>2016</v>
      </c>
      <c r="C9" s="2">
        <v>4</v>
      </c>
      <c r="D9" s="1">
        <v>219299.57881825787</v>
      </c>
      <c r="E9" s="2">
        <f t="shared" si="0"/>
        <v>6714.8409935734526</v>
      </c>
      <c r="F9" s="1">
        <f t="shared" si="1"/>
        <v>-338.99485954316879</v>
      </c>
    </row>
    <row r="10" spans="1:10" x14ac:dyDescent="0.2">
      <c r="A10" t="s">
        <v>8</v>
      </c>
      <c r="B10" s="2">
        <v>2017</v>
      </c>
      <c r="C10" s="2">
        <v>1</v>
      </c>
      <c r="D10" s="1">
        <v>214279.11407714561</v>
      </c>
      <c r="E10" s="2">
        <f t="shared" si="0"/>
        <v>-5020.4647411122569</v>
      </c>
      <c r="F10" s="1">
        <f t="shared" si="1"/>
        <v>4732.8494792852762</v>
      </c>
    </row>
    <row r="11" spans="1:10" x14ac:dyDescent="0.2">
      <c r="A11" t="s">
        <v>9</v>
      </c>
      <c r="B11" s="2">
        <v>2017</v>
      </c>
      <c r="C11" s="2">
        <v>2</v>
      </c>
      <c r="D11" s="1">
        <v>227420.44367691904</v>
      </c>
      <c r="E11" s="2">
        <f t="shared" si="0"/>
        <v>13141.329599773424</v>
      </c>
      <c r="F11" s="1">
        <f t="shared" si="1"/>
        <v>444.11063143980027</v>
      </c>
    </row>
    <row r="12" spans="1:10" x14ac:dyDescent="0.2">
      <c r="A12" t="s">
        <v>10</v>
      </c>
      <c r="B12" s="2">
        <v>2017</v>
      </c>
      <c r="C12" s="2">
        <v>3</v>
      </c>
      <c r="D12" s="1">
        <v>218334.65088020501</v>
      </c>
      <c r="E12" s="2">
        <f t="shared" si="0"/>
        <v>-9085.7927967140276</v>
      </c>
      <c r="F12" s="1">
        <f t="shared" si="1"/>
        <v>911.94780433868618</v>
      </c>
    </row>
    <row r="13" spans="1:10" x14ac:dyDescent="0.2">
      <c r="A13" t="s">
        <v>11</v>
      </c>
      <c r="B13" s="2">
        <v>2017</v>
      </c>
      <c r="C13" s="2">
        <v>4</v>
      </c>
      <c r="D13" s="1">
        <v>224866.64023254925</v>
      </c>
      <c r="E13" s="2">
        <f t="shared" si="0"/>
        <v>6531.9893523442443</v>
      </c>
      <c r="F13" s="1">
        <f t="shared" si="1"/>
        <v>-521.84650077237711</v>
      </c>
    </row>
    <row r="14" spans="1:10" x14ac:dyDescent="0.2">
      <c r="A14" t="s">
        <v>12</v>
      </c>
      <c r="B14" s="2">
        <v>2018</v>
      </c>
      <c r="C14" s="2">
        <v>1</v>
      </c>
      <c r="D14" s="1">
        <v>219280.11870382988</v>
      </c>
      <c r="E14" s="2">
        <f t="shared" si="0"/>
        <v>-5586.5215287193714</v>
      </c>
      <c r="F14" s="1">
        <f t="shared" si="1"/>
        <v>4166.7926916781616</v>
      </c>
    </row>
    <row r="15" spans="1:10" x14ac:dyDescent="0.2">
      <c r="A15" t="s">
        <v>13</v>
      </c>
      <c r="B15" s="2">
        <v>2018</v>
      </c>
      <c r="C15" s="2">
        <v>2</v>
      </c>
      <c r="D15" s="1">
        <v>233331.91239938911</v>
      </c>
      <c r="E15" s="2">
        <f t="shared" si="0"/>
        <v>14051.79369555923</v>
      </c>
      <c r="F15" s="1">
        <f t="shared" si="1"/>
        <v>1354.5747272256067</v>
      </c>
    </row>
    <row r="16" spans="1:10" x14ac:dyDescent="0.2">
      <c r="A16" t="s">
        <v>14</v>
      </c>
      <c r="B16" s="2">
        <v>2018</v>
      </c>
      <c r="C16" s="2">
        <v>3</v>
      </c>
      <c r="D16" s="1">
        <v>222797.62617968474</v>
      </c>
      <c r="E16" s="2">
        <f t="shared" si="0"/>
        <v>-10534.286219704372</v>
      </c>
      <c r="F16" s="1">
        <f t="shared" si="1"/>
        <v>-536.54561865165851</v>
      </c>
    </row>
    <row r="17" spans="1:6" x14ac:dyDescent="0.2">
      <c r="A17" t="s">
        <v>15</v>
      </c>
      <c r="B17" s="2">
        <v>2018</v>
      </c>
      <c r="C17" s="2">
        <v>4</v>
      </c>
      <c r="D17" s="1">
        <v>229075.16535658354</v>
      </c>
      <c r="E17" s="2">
        <f t="shared" si="0"/>
        <v>6277.5391768988047</v>
      </c>
      <c r="F17" s="1">
        <f t="shared" si="1"/>
        <v>-776.29667621781664</v>
      </c>
    </row>
    <row r="18" spans="1:6" x14ac:dyDescent="0.2">
      <c r="A18" t="s">
        <v>16</v>
      </c>
      <c r="B18" s="2">
        <v>2019</v>
      </c>
      <c r="C18" s="2">
        <v>1</v>
      </c>
      <c r="D18" s="1">
        <v>224610.72136922245</v>
      </c>
      <c r="E18" s="2">
        <f t="shared" si="0"/>
        <v>-4464.4439873610972</v>
      </c>
      <c r="F18" s="1">
        <f t="shared" si="1"/>
        <v>5288.8702330364358</v>
      </c>
    </row>
    <row r="19" spans="1:6" x14ac:dyDescent="0.2">
      <c r="A19" t="s">
        <v>17</v>
      </c>
      <c r="B19" s="2">
        <v>2019</v>
      </c>
      <c r="C19" s="2">
        <v>2</v>
      </c>
      <c r="D19" s="1">
        <v>238657.37465719692</v>
      </c>
      <c r="E19" s="2">
        <f t="shared" si="0"/>
        <v>14046.653287974477</v>
      </c>
      <c r="F19" s="1">
        <f t="shared" si="1"/>
        <v>1349.4343196408536</v>
      </c>
    </row>
    <row r="20" spans="1:6" x14ac:dyDescent="0.2">
      <c r="A20" t="s">
        <v>18</v>
      </c>
      <c r="B20" s="2">
        <v>2019</v>
      </c>
      <c r="C20" s="2">
        <v>3</v>
      </c>
      <c r="D20" s="1">
        <v>228359.54718639137</v>
      </c>
      <c r="E20" s="2">
        <f t="shared" si="0"/>
        <v>-10297.827470805554</v>
      </c>
      <c r="F20" s="1">
        <f t="shared" si="1"/>
        <v>-300.08686975284036</v>
      </c>
    </row>
    <row r="21" spans="1:6" x14ac:dyDescent="0.2">
      <c r="A21" t="s">
        <v>19</v>
      </c>
      <c r="B21" s="2">
        <v>2019</v>
      </c>
      <c r="C21" s="2">
        <v>4</v>
      </c>
      <c r="D21" s="1">
        <v>234480.05915064149</v>
      </c>
      <c r="E21" s="2">
        <f t="shared" si="0"/>
        <v>6120.5119642501231</v>
      </c>
      <c r="F21" s="1">
        <f t="shared" si="1"/>
        <v>-933.32388886649824</v>
      </c>
    </row>
    <row r="22" spans="1:6" x14ac:dyDescent="0.2">
      <c r="A22" t="s">
        <v>20</v>
      </c>
      <c r="B22" s="2">
        <v>2020</v>
      </c>
      <c r="C22" s="2">
        <v>1</v>
      </c>
      <c r="D22" s="1">
        <v>224051.39606773821</v>
      </c>
      <c r="E22" s="2">
        <f t="shared" si="0"/>
        <v>-10428.66308290328</v>
      </c>
      <c r="F22" s="1">
        <f t="shared" si="1"/>
        <v>-675.34886250574709</v>
      </c>
    </row>
    <row r="23" spans="1:6" x14ac:dyDescent="0.2">
      <c r="A23" t="s">
        <v>21</v>
      </c>
      <c r="B23" s="2">
        <v>2020</v>
      </c>
      <c r="C23" s="2">
        <v>2</v>
      </c>
      <c r="D23" s="1">
        <v>217407.54165509713</v>
      </c>
      <c r="E23" s="2">
        <f t="shared" si="0"/>
        <v>-6643.8544126410852</v>
      </c>
      <c r="F23" s="1">
        <f t="shared" si="1"/>
        <v>-19341.073380974711</v>
      </c>
    </row>
    <row r="24" spans="1:6" x14ac:dyDescent="0.2">
      <c r="A24" t="s">
        <v>22</v>
      </c>
      <c r="B24" s="2">
        <v>2020</v>
      </c>
      <c r="C24" s="2">
        <v>3</v>
      </c>
      <c r="D24" s="1">
        <v>219721.94897480539</v>
      </c>
      <c r="E24" s="2">
        <f t="shared" si="0"/>
        <v>2314.4073197082616</v>
      </c>
      <c r="F24" s="1">
        <f t="shared" si="1"/>
        <v>12312.147920760975</v>
      </c>
    </row>
    <row r="25" spans="1:6" x14ac:dyDescent="0.2">
      <c r="A25" t="s">
        <v>23</v>
      </c>
      <c r="B25" s="2">
        <v>2020</v>
      </c>
      <c r="C25" s="2">
        <v>4</v>
      </c>
      <c r="D25" s="1">
        <v>227557.6436031693</v>
      </c>
      <c r="E25" s="2">
        <f t="shared" si="0"/>
        <v>7835.6946283639118</v>
      </c>
      <c r="F25" s="1">
        <f t="shared" si="1"/>
        <v>781.8587752472904</v>
      </c>
    </row>
    <row r="26" spans="1:6" x14ac:dyDescent="0.2">
      <c r="A26" t="s">
        <v>24</v>
      </c>
      <c r="B26" s="2">
        <v>2021</v>
      </c>
      <c r="C26" s="2">
        <v>1</v>
      </c>
      <c r="D26" s="1">
        <v>221588.89605332626</v>
      </c>
      <c r="E26" s="2">
        <f t="shared" si="0"/>
        <v>-5968.7475498430431</v>
      </c>
      <c r="F26" s="1">
        <f t="shared" si="1"/>
        <v>3784.56667055449</v>
      </c>
    </row>
    <row r="27" spans="1:6" x14ac:dyDescent="0.2">
      <c r="A27" t="s">
        <v>25</v>
      </c>
      <c r="B27" s="2">
        <v>2021</v>
      </c>
      <c r="C27" s="2">
        <v>2</v>
      </c>
      <c r="D27" s="1">
        <v>243869.99272945363</v>
      </c>
      <c r="E27" s="2">
        <f t="shared" si="0"/>
        <v>22281.096676127374</v>
      </c>
      <c r="F27" s="1">
        <f t="shared" si="1"/>
        <v>9583.8777077937502</v>
      </c>
    </row>
    <row r="28" spans="1:6" x14ac:dyDescent="0.2">
      <c r="A28" t="s">
        <v>26</v>
      </c>
      <c r="B28" s="2">
        <v>2021</v>
      </c>
      <c r="C28" s="2">
        <v>3</v>
      </c>
      <c r="D28" s="1">
        <v>236811.4787716422</v>
      </c>
      <c r="E28" s="2">
        <f t="shared" si="0"/>
        <v>-7058.5139578114322</v>
      </c>
      <c r="F28" s="1">
        <f t="shared" si="1"/>
        <v>2939.2266432412816</v>
      </c>
    </row>
    <row r="29" spans="1:6" x14ac:dyDescent="0.2">
      <c r="A29" t="s">
        <v>27</v>
      </c>
      <c r="B29" s="2">
        <v>2021</v>
      </c>
      <c r="C29" s="2">
        <v>4</v>
      </c>
      <c r="D29" s="1">
        <v>245892.74311405534</v>
      </c>
      <c r="E29" s="2">
        <f t="shared" si="0"/>
        <v>9081.2643424131384</v>
      </c>
      <c r="F29" s="1">
        <f t="shared" si="1"/>
        <v>2027.428489296517</v>
      </c>
    </row>
    <row r="30" spans="1:6" x14ac:dyDescent="0.2">
      <c r="A30" t="s">
        <v>28</v>
      </c>
      <c r="B30" s="2">
        <v>2022</v>
      </c>
      <c r="C30" s="2">
        <v>1</v>
      </c>
      <c r="D30" s="1">
        <v>238880.85999647703</v>
      </c>
      <c r="E30" s="2">
        <f t="shared" si="0"/>
        <v>-7011.8831175783125</v>
      </c>
      <c r="F30" s="1">
        <f t="shared" si="1"/>
        <v>2741.4311028192205</v>
      </c>
    </row>
    <row r="31" spans="1:6" x14ac:dyDescent="0.2">
      <c r="A31" t="s">
        <v>29</v>
      </c>
      <c r="B31" s="2">
        <v>2022</v>
      </c>
      <c r="C31" s="2">
        <v>2</v>
      </c>
      <c r="D31" s="1">
        <v>258793.08551062905</v>
      </c>
      <c r="E31" s="2">
        <f t="shared" si="0"/>
        <v>19912.225514152029</v>
      </c>
      <c r="F31" s="1">
        <f t="shared" si="1"/>
        <v>7215.0065458184054</v>
      </c>
    </row>
    <row r="32" spans="1:6" x14ac:dyDescent="0.2">
      <c r="A32" t="s">
        <v>30</v>
      </c>
      <c r="B32" s="2">
        <v>2022</v>
      </c>
      <c r="C32" s="2">
        <v>3</v>
      </c>
      <c r="D32" s="1">
        <v>246966.96590861265</v>
      </c>
      <c r="E32" s="2">
        <f t="shared" si="0"/>
        <v>-11826.119602016406</v>
      </c>
      <c r="F32" s="1">
        <f t="shared" si="1"/>
        <v>-1828.3790009636923</v>
      </c>
    </row>
    <row r="33" spans="1:6" x14ac:dyDescent="0.2">
      <c r="A33" t="s">
        <v>31</v>
      </c>
      <c r="B33" s="2">
        <v>2022</v>
      </c>
      <c r="C33" s="2">
        <v>4</v>
      </c>
      <c r="D33" s="1">
        <v>257372.74193869813</v>
      </c>
      <c r="E33" s="2">
        <f t="shared" si="0"/>
        <v>10405.776030085486</v>
      </c>
      <c r="F33" s="1">
        <f t="shared" si="1"/>
        <v>3351.9401769688648</v>
      </c>
    </row>
    <row r="34" spans="1:6" x14ac:dyDescent="0.2">
      <c r="A34" t="s">
        <v>32</v>
      </c>
      <c r="B34" s="2">
        <v>2023</v>
      </c>
      <c r="C34" s="2">
        <v>1</v>
      </c>
      <c r="D34" s="1">
        <v>241941.97271319959</v>
      </c>
      <c r="E34" s="2">
        <f t="shared" si="0"/>
        <v>-15430.769225498545</v>
      </c>
      <c r="F34" s="1">
        <f t="shared" si="1"/>
        <v>-5677.4550051010119</v>
      </c>
    </row>
    <row r="35" spans="1:6" x14ac:dyDescent="0.2">
      <c r="A35" t="s">
        <v>33</v>
      </c>
      <c r="B35" s="2">
        <v>2023</v>
      </c>
      <c r="C35" s="2">
        <v>2</v>
      </c>
      <c r="D35" s="1">
        <v>256816.721184947</v>
      </c>
      <c r="E35" s="2">
        <f t="shared" si="0"/>
        <v>14874.748471747414</v>
      </c>
      <c r="F35" s="1">
        <f t="shared" si="1"/>
        <v>2177.5295034137907</v>
      </c>
    </row>
    <row r="36" spans="1:6" x14ac:dyDescent="0.2">
      <c r="A36" t="s">
        <v>34</v>
      </c>
      <c r="B36" s="2">
        <v>2023</v>
      </c>
      <c r="C36" s="2">
        <v>3</v>
      </c>
      <c r="D36" s="1">
        <v>243336.36946589322</v>
      </c>
      <c r="E36" s="2">
        <f t="shared" si="0"/>
        <v>-13480.351719053782</v>
      </c>
      <c r="F36" s="1">
        <f t="shared" si="1"/>
        <v>-3482.6111180010685</v>
      </c>
    </row>
    <row r="37" spans="1:6" x14ac:dyDescent="0.2">
      <c r="A37" t="s">
        <v>35</v>
      </c>
      <c r="B37" s="2">
        <v>2023</v>
      </c>
      <c r="C37" s="2">
        <v>4</v>
      </c>
      <c r="D37" s="1">
        <v>254321.66525583158</v>
      </c>
      <c r="E37" s="2">
        <f t="shared" si="0"/>
        <v>10985.295789938362</v>
      </c>
      <c r="F37" s="1">
        <f t="shared" si="1"/>
        <v>3931.4599368217405</v>
      </c>
    </row>
    <row r="38" spans="1:6" x14ac:dyDescent="0.2">
      <c r="A38" t="s">
        <v>36</v>
      </c>
      <c r="B38" s="2">
        <v>2024</v>
      </c>
      <c r="C38" s="2">
        <v>1</v>
      </c>
      <c r="D38" s="1">
        <v>241348.13324650342</v>
      </c>
      <c r="E38" s="2">
        <f t="shared" si="0"/>
        <v>-12973.532009328163</v>
      </c>
      <c r="F38" s="1">
        <f t="shared" si="1"/>
        <v>-3220.2177889306295</v>
      </c>
    </row>
    <row r="39" spans="1:6" x14ac:dyDescent="0.2">
      <c r="A39" t="s">
        <v>37</v>
      </c>
      <c r="B39" s="2">
        <v>2024</v>
      </c>
      <c r="C39" s="2">
        <v>2</v>
      </c>
      <c r="D39" s="1">
        <v>259465.25499766442</v>
      </c>
      <c r="E39" s="2">
        <f t="shared" si="0"/>
        <v>18117.121751161001</v>
      </c>
      <c r="F39" s="1">
        <f t="shared" si="1"/>
        <v>5419.9027828273775</v>
      </c>
    </row>
    <row r="40" spans="1:6" x14ac:dyDescent="0.2">
      <c r="A40" t="s">
        <v>38</v>
      </c>
      <c r="B40" s="2">
        <v>2024</v>
      </c>
      <c r="C40" s="2">
        <v>3</v>
      </c>
      <c r="D40" s="1">
        <v>247438.90428115605</v>
      </c>
      <c r="E40" s="2">
        <f t="shared" si="0"/>
        <v>-12026.350716508372</v>
      </c>
      <c r="F40" s="1">
        <f t="shared" si="1"/>
        <v>-2028.6101154556582</v>
      </c>
    </row>
    <row r="41" spans="1:6" x14ac:dyDescent="0.2">
      <c r="A41" t="s">
        <v>39</v>
      </c>
      <c r="B41" s="2">
        <v>2024</v>
      </c>
      <c r="C41" s="2">
        <v>4</v>
      </c>
      <c r="D41" s="1">
        <v>259086.08874296019</v>
      </c>
      <c r="E41" s="2">
        <f t="shared" si="0"/>
        <v>11647.184461804136</v>
      </c>
      <c r="F41" s="1">
        <f t="shared" si="1"/>
        <v>4593.3486086875146</v>
      </c>
    </row>
    <row r="42" spans="1:6" x14ac:dyDescent="0.2">
      <c r="A42" t="s">
        <v>40</v>
      </c>
      <c r="B42" s="2">
        <v>2025</v>
      </c>
      <c r="C42" s="2">
        <v>1</v>
      </c>
      <c r="D42" s="1">
        <v>246781.91123556145</v>
      </c>
      <c r="E42" s="2">
        <f t="shared" si="0"/>
        <v>-12304.177507398737</v>
      </c>
      <c r="F42" s="1">
        <f t="shared" si="1"/>
        <v>-2550.8632870012043</v>
      </c>
    </row>
    <row r="43" spans="1:6" x14ac:dyDescent="0.2">
      <c r="A43" t="s">
        <v>41</v>
      </c>
      <c r="B43" s="2">
        <v>2025</v>
      </c>
      <c r="C43" s="2">
        <v>2</v>
      </c>
      <c r="D43" s="1">
        <v>264039.60579481383</v>
      </c>
      <c r="E43" s="2">
        <f t="shared" si="0"/>
        <v>17257.694559252384</v>
      </c>
      <c r="F43" s="1">
        <f t="shared" si="1"/>
        <v>4560.4755909187606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62212-6F14-F741-A779-47529EAC8A0A}">
  <dimension ref="A1:BD43"/>
  <sheetViews>
    <sheetView topLeftCell="D14" workbookViewId="0">
      <selection activeCell="U20" sqref="U20"/>
    </sheetView>
  </sheetViews>
  <sheetFormatPr baseColWidth="10" defaultRowHeight="16" x14ac:dyDescent="0.2"/>
  <cols>
    <col min="12" max="12" width="13.5" customWidth="1"/>
    <col min="15" max="15" width="13.6640625" bestFit="1" customWidth="1"/>
    <col min="17" max="17" width="12.1640625" bestFit="1" customWidth="1"/>
    <col min="19" max="19" width="12.1640625" bestFit="1" customWidth="1"/>
    <col min="20" max="20" width="11.1640625" bestFit="1" customWidth="1"/>
  </cols>
  <sheetData>
    <row r="1" spans="1:56" x14ac:dyDescent="0.2">
      <c r="A1" s="3" t="s">
        <v>107</v>
      </c>
      <c r="B1" s="3"/>
      <c r="C1" s="3" t="s">
        <v>108</v>
      </c>
      <c r="E1" s="3" t="s">
        <v>61</v>
      </c>
      <c r="G1" s="3" t="s">
        <v>60</v>
      </c>
      <c r="J1" s="3" t="s">
        <v>67</v>
      </c>
      <c r="L1" s="3" t="s">
        <v>98</v>
      </c>
      <c r="O1" s="3" t="s">
        <v>62</v>
      </c>
    </row>
    <row r="2" spans="1:56" x14ac:dyDescent="0.2">
      <c r="A2">
        <v>150816</v>
      </c>
      <c r="C2">
        <v>2</v>
      </c>
      <c r="E2">
        <f>A2</f>
        <v>150816</v>
      </c>
      <c r="G2">
        <v>1</v>
      </c>
      <c r="H2">
        <f>C2</f>
        <v>2</v>
      </c>
      <c r="J2" s="1">
        <f>$Q$10+$Q$11*H2</f>
        <v>141613.78405315621</v>
      </c>
      <c r="K2" s="1"/>
      <c r="L2" s="1">
        <f>(J2-A2)^2</f>
        <v>84680778.332346141</v>
      </c>
      <c r="M2" s="1"/>
      <c r="O2" cm="1">
        <f t="array" ref="O2:BD3">TRANSPOSE(G2:H43)</f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  <c r="AG2">
        <v>1</v>
      </c>
      <c r="AH2">
        <v>1</v>
      </c>
      <c r="AI2">
        <v>1</v>
      </c>
      <c r="AJ2">
        <v>1</v>
      </c>
      <c r="AK2">
        <v>1</v>
      </c>
      <c r="AL2">
        <v>1</v>
      </c>
      <c r="AM2">
        <v>1</v>
      </c>
      <c r="AN2">
        <v>1</v>
      </c>
      <c r="AO2">
        <v>1</v>
      </c>
      <c r="AP2">
        <v>1</v>
      </c>
      <c r="AQ2">
        <v>1</v>
      </c>
      <c r="AR2">
        <v>1</v>
      </c>
      <c r="AS2">
        <v>1</v>
      </c>
      <c r="AT2">
        <v>1</v>
      </c>
      <c r="AU2">
        <v>1</v>
      </c>
      <c r="AV2">
        <v>1</v>
      </c>
      <c r="AW2">
        <v>1</v>
      </c>
      <c r="AX2">
        <v>1</v>
      </c>
      <c r="AY2">
        <v>1</v>
      </c>
      <c r="AZ2">
        <v>1</v>
      </c>
      <c r="BA2">
        <v>1</v>
      </c>
      <c r="BB2">
        <v>1</v>
      </c>
      <c r="BC2">
        <v>1</v>
      </c>
      <c r="BD2">
        <v>1</v>
      </c>
    </row>
    <row r="3" spans="1:56" x14ac:dyDescent="0.2">
      <c r="A3">
        <v>159663</v>
      </c>
      <c r="C3">
        <v>3</v>
      </c>
      <c r="E3">
        <f t="shared" ref="E3:E43" si="0">A3</f>
        <v>159663</v>
      </c>
      <c r="G3">
        <v>1</v>
      </c>
      <c r="H3">
        <f t="shared" ref="H3:H43" si="1">C3</f>
        <v>3</v>
      </c>
      <c r="J3" s="1">
        <f t="shared" ref="J3:J42" si="2">$Q$10+$Q$11*H3</f>
        <v>144309.37646868167</v>
      </c>
      <c r="K3" s="1"/>
      <c r="L3" s="1">
        <f t="shared" ref="L3:L43" si="3">(J3-A3)^2</f>
        <v>235733755.54145187</v>
      </c>
      <c r="M3" s="1"/>
      <c r="O3">
        <v>2</v>
      </c>
      <c r="P3">
        <v>3</v>
      </c>
      <c r="Q3">
        <v>4</v>
      </c>
      <c r="R3">
        <v>5</v>
      </c>
      <c r="S3">
        <v>6</v>
      </c>
      <c r="T3">
        <v>7</v>
      </c>
      <c r="U3">
        <v>8</v>
      </c>
      <c r="V3">
        <v>9</v>
      </c>
      <c r="W3">
        <v>10</v>
      </c>
      <c r="X3">
        <v>11</v>
      </c>
      <c r="Y3">
        <v>12</v>
      </c>
      <c r="Z3">
        <v>13</v>
      </c>
      <c r="AA3">
        <v>14</v>
      </c>
      <c r="AB3">
        <v>15</v>
      </c>
      <c r="AC3">
        <v>16</v>
      </c>
      <c r="AD3">
        <v>17</v>
      </c>
      <c r="AE3">
        <v>18</v>
      </c>
      <c r="AF3">
        <v>19</v>
      </c>
      <c r="AG3">
        <v>20</v>
      </c>
      <c r="AH3">
        <v>21</v>
      </c>
      <c r="AI3">
        <v>22</v>
      </c>
      <c r="AJ3">
        <v>23</v>
      </c>
      <c r="AK3">
        <v>24</v>
      </c>
      <c r="AL3">
        <v>25</v>
      </c>
      <c r="AM3">
        <v>26</v>
      </c>
      <c r="AN3">
        <v>27</v>
      </c>
      <c r="AO3">
        <v>28</v>
      </c>
      <c r="AP3">
        <v>29</v>
      </c>
      <c r="AQ3">
        <v>30</v>
      </c>
      <c r="AR3">
        <v>31</v>
      </c>
      <c r="AS3">
        <v>32</v>
      </c>
      <c r="AT3">
        <v>33</v>
      </c>
      <c r="AU3">
        <v>34</v>
      </c>
      <c r="AV3">
        <v>35</v>
      </c>
      <c r="AW3">
        <v>36</v>
      </c>
      <c r="AX3">
        <v>37</v>
      </c>
      <c r="AY3">
        <v>38</v>
      </c>
      <c r="AZ3">
        <v>39</v>
      </c>
      <c r="BA3">
        <v>40</v>
      </c>
      <c r="BB3">
        <v>41</v>
      </c>
      <c r="BC3">
        <v>42</v>
      </c>
      <c r="BD3">
        <v>43</v>
      </c>
    </row>
    <row r="4" spans="1:56" x14ac:dyDescent="0.2">
      <c r="A4">
        <v>155573</v>
      </c>
      <c r="C4">
        <v>4</v>
      </c>
      <c r="E4">
        <f t="shared" si="0"/>
        <v>155573</v>
      </c>
      <c r="G4">
        <v>1</v>
      </c>
      <c r="H4">
        <f t="shared" si="1"/>
        <v>4</v>
      </c>
      <c r="J4" s="1">
        <f t="shared" si="2"/>
        <v>147004.96888420716</v>
      </c>
      <c r="K4" s="1"/>
      <c r="L4" s="1">
        <f t="shared" si="3"/>
        <v>73411157.201194257</v>
      </c>
      <c r="M4" s="1"/>
    </row>
    <row r="5" spans="1:56" x14ac:dyDescent="0.2">
      <c r="A5">
        <v>161574</v>
      </c>
      <c r="C5">
        <v>5</v>
      </c>
      <c r="E5">
        <f t="shared" si="0"/>
        <v>161574</v>
      </c>
      <c r="G5">
        <v>1</v>
      </c>
      <c r="H5">
        <f t="shared" si="1"/>
        <v>5</v>
      </c>
      <c r="J5" s="1">
        <f t="shared" si="2"/>
        <v>149700.56129973265</v>
      </c>
      <c r="K5" s="1"/>
      <c r="L5" s="1">
        <f t="shared" si="3"/>
        <v>140978546.56900632</v>
      </c>
      <c r="M5" s="1"/>
      <c r="O5" s="3" t="s">
        <v>63</v>
      </c>
      <c r="R5" s="3" t="s">
        <v>64</v>
      </c>
    </row>
    <row r="6" spans="1:56" x14ac:dyDescent="0.2">
      <c r="A6">
        <v>154922</v>
      </c>
      <c r="C6">
        <v>6</v>
      </c>
      <c r="E6">
        <f t="shared" si="0"/>
        <v>154922</v>
      </c>
      <c r="G6">
        <v>1</v>
      </c>
      <c r="H6">
        <f t="shared" si="1"/>
        <v>6</v>
      </c>
      <c r="J6" s="1">
        <f t="shared" si="2"/>
        <v>152396.15371525811</v>
      </c>
      <c r="K6" s="1"/>
      <c r="L6" s="1">
        <f t="shared" si="3"/>
        <v>6379899.4541443838</v>
      </c>
      <c r="M6" s="1"/>
      <c r="O6" cm="1">
        <f t="array" ref="O6:P7">MMULT(_xlfn.ANCHORARRAY(O2),G2:H43)</f>
        <v>42</v>
      </c>
      <c r="P6">
        <v>945</v>
      </c>
      <c r="R6" cm="1">
        <f t="array" ref="R6:S7">MINVERSE(_xlfn.ANCHORARRAY(O6))</f>
        <v>0.10585311833184774</v>
      </c>
      <c r="S6">
        <v>-3.6463819787699524E-3</v>
      </c>
    </row>
    <row r="7" spans="1:56" x14ac:dyDescent="0.2">
      <c r="A7">
        <v>164049</v>
      </c>
      <c r="C7">
        <v>7</v>
      </c>
      <c r="E7">
        <f t="shared" si="0"/>
        <v>164049</v>
      </c>
      <c r="G7">
        <v>1</v>
      </c>
      <c r="H7">
        <f t="shared" si="1"/>
        <v>7</v>
      </c>
      <c r="J7" s="1">
        <f t="shared" si="2"/>
        <v>155091.74613078361</v>
      </c>
      <c r="K7" s="1"/>
      <c r="L7" s="1">
        <f t="shared" si="3"/>
        <v>80232396.877592072</v>
      </c>
      <c r="M7" s="1"/>
      <c r="O7">
        <v>945</v>
      </c>
      <c r="P7">
        <v>27433</v>
      </c>
      <c r="R7">
        <v>-3.6463819787699529E-3</v>
      </c>
      <c r="S7">
        <v>1.6206142127866456E-4</v>
      </c>
    </row>
    <row r="8" spans="1:56" x14ac:dyDescent="0.2">
      <c r="A8">
        <v>159126</v>
      </c>
      <c r="C8">
        <v>8</v>
      </c>
      <c r="E8">
        <f t="shared" si="0"/>
        <v>159126</v>
      </c>
      <c r="G8">
        <v>1</v>
      </c>
      <c r="H8">
        <f t="shared" si="1"/>
        <v>8</v>
      </c>
      <c r="J8" s="1">
        <f t="shared" si="2"/>
        <v>157787.3385463091</v>
      </c>
      <c r="K8" s="1"/>
      <c r="L8" s="1">
        <f t="shared" si="3"/>
        <v>1792014.4875978436</v>
      </c>
      <c r="M8" s="1"/>
    </row>
    <row r="9" spans="1:56" x14ac:dyDescent="0.2">
      <c r="A9">
        <v>166215</v>
      </c>
      <c r="C9">
        <v>9</v>
      </c>
      <c r="E9">
        <f t="shared" si="0"/>
        <v>166215</v>
      </c>
      <c r="G9">
        <v>1</v>
      </c>
      <c r="H9">
        <f t="shared" si="1"/>
        <v>9</v>
      </c>
      <c r="J9" s="1">
        <f t="shared" si="2"/>
        <v>160482.93096183459</v>
      </c>
      <c r="K9" s="1"/>
      <c r="L9" s="1">
        <f t="shared" si="3"/>
        <v>32856615.458294563</v>
      </c>
      <c r="M9" s="1"/>
      <c r="O9" s="3" t="s">
        <v>65</v>
      </c>
      <c r="Q9" s="3" t="s">
        <v>66</v>
      </c>
    </row>
    <row r="10" spans="1:56" x14ac:dyDescent="0.2">
      <c r="A10">
        <v>161419</v>
      </c>
      <c r="C10">
        <v>10</v>
      </c>
      <c r="E10">
        <f t="shared" si="0"/>
        <v>161419</v>
      </c>
      <c r="G10">
        <v>1</v>
      </c>
      <c r="H10">
        <f t="shared" si="1"/>
        <v>10</v>
      </c>
      <c r="J10" s="1">
        <f t="shared" si="2"/>
        <v>163178.52337736008</v>
      </c>
      <c r="K10" s="1"/>
      <c r="L10" s="1">
        <f t="shared" si="3"/>
        <v>3095922.5154766138</v>
      </c>
      <c r="M10" s="1"/>
      <c r="O10" cm="1">
        <f t="array" ref="O10:O11">MMULT(_xlfn.ANCHORARRAY(O2),E2:E43)</f>
        <v>8268684</v>
      </c>
      <c r="Q10" cm="1">
        <f t="array" ref="Q10:Q11">MMULT(_xlfn.ANCHORARRAY(R6),_xlfn.ANCHORARRAY(O10))</f>
        <v>136222.59922210523</v>
      </c>
      <c r="S10" t="s">
        <v>103</v>
      </c>
    </row>
    <row r="11" spans="1:56" x14ac:dyDescent="0.2">
      <c r="A11">
        <v>171164</v>
      </c>
      <c r="C11">
        <v>11</v>
      </c>
      <c r="E11">
        <f t="shared" si="0"/>
        <v>171164</v>
      </c>
      <c r="G11">
        <v>1</v>
      </c>
      <c r="H11">
        <f t="shared" si="1"/>
        <v>11</v>
      </c>
      <c r="J11" s="1">
        <f t="shared" si="2"/>
        <v>165874.11579288554</v>
      </c>
      <c r="K11" s="1"/>
      <c r="L11" s="1">
        <f t="shared" si="3"/>
        <v>27982874.924678989</v>
      </c>
      <c r="M11" s="1"/>
      <c r="O11">
        <v>202678543</v>
      </c>
      <c r="Q11">
        <v>2695.5924155254834</v>
      </c>
      <c r="S11" t="s">
        <v>104</v>
      </c>
    </row>
    <row r="12" spans="1:56" x14ac:dyDescent="0.2">
      <c r="A12">
        <v>166103</v>
      </c>
      <c r="C12">
        <v>12</v>
      </c>
      <c r="E12">
        <f t="shared" si="0"/>
        <v>166103</v>
      </c>
      <c r="G12">
        <v>1</v>
      </c>
      <c r="H12">
        <f t="shared" si="1"/>
        <v>12</v>
      </c>
      <c r="J12" s="1">
        <f t="shared" si="2"/>
        <v>168569.70820841103</v>
      </c>
      <c r="K12" s="1"/>
      <c r="L12" s="1">
        <f t="shared" si="3"/>
        <v>6084649.3854423519</v>
      </c>
      <c r="M12" s="1"/>
    </row>
    <row r="13" spans="1:56" x14ac:dyDescent="0.2">
      <c r="A13">
        <v>173248</v>
      </c>
      <c r="C13">
        <v>13</v>
      </c>
      <c r="E13">
        <f t="shared" si="0"/>
        <v>173248</v>
      </c>
      <c r="G13">
        <v>1</v>
      </c>
      <c r="H13">
        <f t="shared" si="1"/>
        <v>13</v>
      </c>
      <c r="J13" s="1">
        <f t="shared" si="2"/>
        <v>171265.30062393652</v>
      </c>
      <c r="K13" s="1"/>
      <c r="L13" s="1">
        <f t="shared" si="3"/>
        <v>3931096.8158425111</v>
      </c>
      <c r="M13" s="1"/>
      <c r="O13" s="3" t="s">
        <v>99</v>
      </c>
      <c r="Q13" s="3" t="s">
        <v>100</v>
      </c>
      <c r="T13" s="3"/>
    </row>
    <row r="14" spans="1:56" x14ac:dyDescent="0.2">
      <c r="A14">
        <v>170056</v>
      </c>
      <c r="C14">
        <v>14</v>
      </c>
      <c r="E14">
        <f t="shared" si="0"/>
        <v>170056</v>
      </c>
      <c r="G14">
        <v>1</v>
      </c>
      <c r="H14">
        <f t="shared" si="1"/>
        <v>14</v>
      </c>
      <c r="J14" s="1">
        <f t="shared" si="2"/>
        <v>173960.89303946198</v>
      </c>
      <c r="K14" s="1"/>
      <c r="L14" s="1">
        <f t="shared" si="3"/>
        <v>15248189.649638636</v>
      </c>
      <c r="M14" s="1"/>
      <c r="O14" s="1">
        <f>SUM(L2:L43)</f>
        <v>4036435421.2107611</v>
      </c>
      <c r="Q14">
        <f>O14/(COUNT(J2:J43)-2)</f>
        <v>100910885.53026903</v>
      </c>
    </row>
    <row r="15" spans="1:56" x14ac:dyDescent="0.2">
      <c r="A15">
        <v>179008</v>
      </c>
      <c r="C15">
        <v>15</v>
      </c>
      <c r="E15">
        <f t="shared" si="0"/>
        <v>179008</v>
      </c>
      <c r="G15">
        <v>1</v>
      </c>
      <c r="H15">
        <f t="shared" si="1"/>
        <v>15</v>
      </c>
      <c r="J15" s="1">
        <f t="shared" si="2"/>
        <v>176656.48545498747</v>
      </c>
      <c r="K15" s="1"/>
      <c r="L15" s="1">
        <f t="shared" si="3"/>
        <v>5529620.6554054739</v>
      </c>
      <c r="M15" s="1"/>
    </row>
    <row r="16" spans="1:56" x14ac:dyDescent="0.2">
      <c r="A16">
        <v>173652</v>
      </c>
      <c r="C16">
        <v>16</v>
      </c>
      <c r="E16">
        <f t="shared" si="0"/>
        <v>173652</v>
      </c>
      <c r="G16">
        <v>1</v>
      </c>
      <c r="H16">
        <f t="shared" si="1"/>
        <v>16</v>
      </c>
      <c r="J16" s="1">
        <f t="shared" si="2"/>
        <v>179352.07787051296</v>
      </c>
      <c r="K16" s="1"/>
      <c r="L16" s="1">
        <f t="shared" si="3"/>
        <v>32490887.729911599</v>
      </c>
      <c r="M16" s="1"/>
      <c r="O16" s="3" t="s">
        <v>101</v>
      </c>
    </row>
    <row r="17" spans="1:21" x14ac:dyDescent="0.2">
      <c r="A17">
        <v>180841</v>
      </c>
      <c r="C17">
        <v>17</v>
      </c>
      <c r="E17">
        <f t="shared" si="0"/>
        <v>180841</v>
      </c>
      <c r="G17">
        <v>1</v>
      </c>
      <c r="H17">
        <f t="shared" si="1"/>
        <v>17</v>
      </c>
      <c r="J17" s="1">
        <f t="shared" si="2"/>
        <v>182047.67028603845</v>
      </c>
      <c r="K17" s="1"/>
      <c r="L17" s="1">
        <f t="shared" si="3"/>
        <v>1456053.1792081243</v>
      </c>
      <c r="M17" s="1"/>
      <c r="O17" s="3">
        <f>$Q$14*R6</f>
        <v>10681731.907007109</v>
      </c>
      <c r="P17" s="3">
        <f>$Q$14*S6</f>
        <v>-367959.63445929054</v>
      </c>
      <c r="Q17" s="3"/>
      <c r="R17" s="3"/>
      <c r="S17" s="3"/>
    </row>
    <row r="18" spans="1:21" x14ac:dyDescent="0.2">
      <c r="A18">
        <v>178780</v>
      </c>
      <c r="C18">
        <v>18</v>
      </c>
      <c r="E18">
        <f t="shared" si="0"/>
        <v>178780</v>
      </c>
      <c r="G18">
        <v>1</v>
      </c>
      <c r="H18">
        <f t="shared" si="1"/>
        <v>18</v>
      </c>
      <c r="J18" s="1">
        <f t="shared" si="2"/>
        <v>184743.26270156394</v>
      </c>
      <c r="K18" s="1"/>
      <c r="L18" s="1">
        <f t="shared" si="3"/>
        <v>35560502.047863714</v>
      </c>
      <c r="M18" s="1"/>
      <c r="O18" s="3">
        <f>$Q$14*R7</f>
        <v>-367959.6344592906</v>
      </c>
      <c r="P18" s="3">
        <f>$Q$14*S7</f>
        <v>16353.761531524024</v>
      </c>
    </row>
    <row r="19" spans="1:21" x14ac:dyDescent="0.2">
      <c r="A19">
        <v>188735</v>
      </c>
      <c r="C19">
        <v>19</v>
      </c>
      <c r="E19">
        <f t="shared" si="0"/>
        <v>188735</v>
      </c>
      <c r="G19">
        <v>1</v>
      </c>
      <c r="H19">
        <f t="shared" si="1"/>
        <v>19</v>
      </c>
      <c r="J19" s="1">
        <f t="shared" si="2"/>
        <v>187438.85511708941</v>
      </c>
      <c r="K19" s="1"/>
      <c r="L19" s="1">
        <f t="shared" si="3"/>
        <v>1679991.5574953172</v>
      </c>
      <c r="M19" s="1"/>
    </row>
    <row r="20" spans="1:21" x14ac:dyDescent="0.2">
      <c r="A20">
        <v>182497</v>
      </c>
      <c r="C20">
        <v>20</v>
      </c>
      <c r="E20">
        <f t="shared" si="0"/>
        <v>182497</v>
      </c>
      <c r="G20">
        <v>1</v>
      </c>
      <c r="H20">
        <f t="shared" si="1"/>
        <v>20</v>
      </c>
      <c r="J20" s="1">
        <f t="shared" si="2"/>
        <v>190134.4475326149</v>
      </c>
      <c r="K20" s="1"/>
      <c r="L20" s="1">
        <f t="shared" si="3"/>
        <v>58330604.813445374</v>
      </c>
      <c r="M20" s="1"/>
      <c r="O20" s="3" t="s">
        <v>102</v>
      </c>
    </row>
    <row r="21" spans="1:21" x14ac:dyDescent="0.2">
      <c r="A21">
        <v>189496</v>
      </c>
      <c r="C21">
        <v>21</v>
      </c>
      <c r="E21">
        <f t="shared" si="0"/>
        <v>189496</v>
      </c>
      <c r="G21">
        <v>1</v>
      </c>
      <c r="H21">
        <f t="shared" si="1"/>
        <v>21</v>
      </c>
      <c r="J21" s="1">
        <f t="shared" si="2"/>
        <v>192830.03994814039</v>
      </c>
      <c r="K21" s="1"/>
      <c r="L21" s="1">
        <f t="shared" si="3"/>
        <v>11115822.375795957</v>
      </c>
      <c r="M21" s="1"/>
      <c r="O21">
        <f>SQRT(O17)</f>
        <v>3268.2918944009743</v>
      </c>
      <c r="P21" t="e">
        <f>SQRT(P17)</f>
        <v>#NUM!</v>
      </c>
      <c r="R21" t="s">
        <v>105</v>
      </c>
    </row>
    <row r="22" spans="1:21" x14ac:dyDescent="0.2">
      <c r="A22">
        <v>182537</v>
      </c>
      <c r="C22">
        <v>22</v>
      </c>
      <c r="E22">
        <f t="shared" si="0"/>
        <v>182537</v>
      </c>
      <c r="G22">
        <v>1</v>
      </c>
      <c r="H22">
        <f t="shared" si="1"/>
        <v>22</v>
      </c>
      <c r="J22" s="1">
        <f t="shared" si="2"/>
        <v>195525.63236366585</v>
      </c>
      <c r="K22" s="1"/>
      <c r="L22" s="1">
        <f t="shared" si="3"/>
        <v>168704570.6784679</v>
      </c>
      <c r="M22" s="1"/>
      <c r="O22" t="e">
        <f>SQRT(O18)</f>
        <v>#NUM!</v>
      </c>
      <c r="P22">
        <f>SQRT(P18)</f>
        <v>127.88182643176482</v>
      </c>
      <c r="R22" t="s">
        <v>106</v>
      </c>
    </row>
    <row r="23" spans="1:21" ht="17" thickBot="1" x14ac:dyDescent="0.25">
      <c r="A23">
        <v>175396</v>
      </c>
      <c r="C23">
        <v>23</v>
      </c>
      <c r="E23">
        <f t="shared" si="0"/>
        <v>175396</v>
      </c>
      <c r="G23">
        <v>1</v>
      </c>
      <c r="H23">
        <f t="shared" si="1"/>
        <v>23</v>
      </c>
      <c r="J23" s="1">
        <f t="shared" si="2"/>
        <v>198221.22477919134</v>
      </c>
      <c r="K23" s="1"/>
      <c r="L23" s="1">
        <f t="shared" si="3"/>
        <v>520990886.22061032</v>
      </c>
      <c r="M23" s="1"/>
    </row>
    <row r="24" spans="1:21" x14ac:dyDescent="0.2">
      <c r="A24">
        <v>179815</v>
      </c>
      <c r="C24">
        <v>24</v>
      </c>
      <c r="E24">
        <f t="shared" si="0"/>
        <v>179815</v>
      </c>
      <c r="G24">
        <v>1</v>
      </c>
      <c r="H24">
        <f t="shared" si="1"/>
        <v>24</v>
      </c>
      <c r="J24" s="1">
        <f t="shared" si="2"/>
        <v>200916.81719471683</v>
      </c>
      <c r="K24" s="1"/>
      <c r="L24" s="1">
        <f t="shared" si="3"/>
        <v>445286688.91924685</v>
      </c>
      <c r="M24" s="1"/>
      <c r="O24" s="13" t="s">
        <v>68</v>
      </c>
      <c r="P24" s="14" t="s">
        <v>69</v>
      </c>
      <c r="Q24" s="14" t="s">
        <v>70</v>
      </c>
      <c r="R24" s="14" t="s">
        <v>71</v>
      </c>
      <c r="S24" s="15" t="s">
        <v>72</v>
      </c>
      <c r="U24" s="18" t="s">
        <v>111</v>
      </c>
    </row>
    <row r="25" spans="1:21" x14ac:dyDescent="0.2">
      <c r="A25">
        <v>188401</v>
      </c>
      <c r="C25">
        <v>25</v>
      </c>
      <c r="E25">
        <f t="shared" si="0"/>
        <v>188401</v>
      </c>
      <c r="G25">
        <v>1</v>
      </c>
      <c r="H25">
        <f t="shared" si="1"/>
        <v>25</v>
      </c>
      <c r="J25" s="1">
        <f t="shared" si="2"/>
        <v>203612.40961024232</v>
      </c>
      <c r="K25" s="1"/>
      <c r="L25" s="1">
        <f t="shared" si="3"/>
        <v>231386982.33057243</v>
      </c>
      <c r="M25" s="1"/>
      <c r="O25" s="10">
        <v>0</v>
      </c>
      <c r="P25" s="9">
        <f>Q10</f>
        <v>136222.59922210523</v>
      </c>
      <c r="Q25" s="9">
        <f>O21</f>
        <v>3268.2918944009743</v>
      </c>
      <c r="R25" s="9">
        <f>P25/Q25</f>
        <v>41.680059071673782</v>
      </c>
      <c r="S25" s="16">
        <f>_xlfn.T.DIST.2T(R25,40)</f>
        <v>1.41007295833319E-34</v>
      </c>
      <c r="T25" t="s">
        <v>112</v>
      </c>
      <c r="U25" t="s">
        <v>113</v>
      </c>
    </row>
    <row r="26" spans="1:21" ht="17" thickBot="1" x14ac:dyDescent="0.25">
      <c r="A26">
        <v>183940</v>
      </c>
      <c r="C26">
        <v>26</v>
      </c>
      <c r="E26">
        <f t="shared" si="0"/>
        <v>183940</v>
      </c>
      <c r="G26">
        <v>1</v>
      </c>
      <c r="H26">
        <f t="shared" si="1"/>
        <v>26</v>
      </c>
      <c r="J26" s="1">
        <f t="shared" si="2"/>
        <v>206308.00202576781</v>
      </c>
      <c r="K26" s="1"/>
      <c r="L26" s="1">
        <f t="shared" si="3"/>
        <v>500327514.62475294</v>
      </c>
      <c r="M26" s="1"/>
      <c r="O26" s="11">
        <v>1</v>
      </c>
      <c r="P26" s="12">
        <f>Q11</f>
        <v>2695.5924155254834</v>
      </c>
      <c r="Q26" s="12">
        <f>P22</f>
        <v>127.88182643176482</v>
      </c>
      <c r="R26" s="12">
        <f>P26/Q26</f>
        <v>21.078776326077868</v>
      </c>
      <c r="S26" s="17">
        <f>_xlfn.T.DIST.2T(R26,40)</f>
        <v>2.8486104637818865E-23</v>
      </c>
      <c r="T26" t="s">
        <v>112</v>
      </c>
      <c r="U26" t="s">
        <v>113</v>
      </c>
    </row>
    <row r="27" spans="1:21" x14ac:dyDescent="0.2">
      <c r="A27">
        <v>201433</v>
      </c>
      <c r="C27">
        <v>27</v>
      </c>
      <c r="E27">
        <f t="shared" si="0"/>
        <v>201433</v>
      </c>
      <c r="G27">
        <v>1</v>
      </c>
      <c r="H27">
        <f t="shared" si="1"/>
        <v>27</v>
      </c>
      <c r="J27" s="1">
        <f t="shared" si="2"/>
        <v>209003.59444129327</v>
      </c>
      <c r="K27" s="1"/>
      <c r="L27" s="1">
        <f t="shared" si="3"/>
        <v>57313900.194540605</v>
      </c>
      <c r="M27" s="1"/>
    </row>
    <row r="28" spans="1:21" x14ac:dyDescent="0.2">
      <c r="A28">
        <v>198942</v>
      </c>
      <c r="C28">
        <v>28</v>
      </c>
      <c r="E28">
        <f t="shared" si="0"/>
        <v>198942</v>
      </c>
      <c r="G28">
        <v>1</v>
      </c>
      <c r="H28">
        <f t="shared" si="1"/>
        <v>28</v>
      </c>
      <c r="J28" s="1">
        <f t="shared" si="2"/>
        <v>211699.18685681876</v>
      </c>
      <c r="K28" s="1"/>
      <c r="L28" s="1">
        <f t="shared" si="3"/>
        <v>162745816.49978942</v>
      </c>
      <c r="M28" s="1"/>
    </row>
    <row r="29" spans="1:21" x14ac:dyDescent="0.2">
      <c r="A29">
        <v>207415</v>
      </c>
      <c r="C29">
        <v>29</v>
      </c>
      <c r="E29">
        <f t="shared" si="0"/>
        <v>207415</v>
      </c>
      <c r="G29">
        <v>1</v>
      </c>
      <c r="H29">
        <f t="shared" si="1"/>
        <v>29</v>
      </c>
      <c r="J29" s="1">
        <f t="shared" si="2"/>
        <v>214394.77927234425</v>
      </c>
      <c r="K29" s="1"/>
      <c r="L29" s="1">
        <f t="shared" si="3"/>
        <v>48717318.690646492</v>
      </c>
      <c r="M29" s="1"/>
    </row>
    <row r="30" spans="1:21" x14ac:dyDescent="0.2">
      <c r="A30">
        <v>209214</v>
      </c>
      <c r="C30">
        <v>30</v>
      </c>
      <c r="E30">
        <f t="shared" si="0"/>
        <v>209214</v>
      </c>
      <c r="G30">
        <v>1</v>
      </c>
      <c r="H30">
        <f t="shared" si="1"/>
        <v>30</v>
      </c>
      <c r="J30" s="1">
        <f t="shared" si="2"/>
        <v>217090.37168786972</v>
      </c>
      <c r="K30" s="1"/>
      <c r="L30" s="1">
        <f t="shared" si="3"/>
        <v>62037230.965475641</v>
      </c>
      <c r="M30" s="1"/>
    </row>
    <row r="31" spans="1:21" x14ac:dyDescent="0.2">
      <c r="A31">
        <v>224204</v>
      </c>
      <c r="C31">
        <v>31</v>
      </c>
      <c r="E31">
        <f t="shared" si="0"/>
        <v>224204</v>
      </c>
      <c r="G31">
        <v>1</v>
      </c>
      <c r="H31">
        <f t="shared" si="1"/>
        <v>31</v>
      </c>
      <c r="J31" s="1">
        <f t="shared" si="2"/>
        <v>219785.96410339521</v>
      </c>
      <c r="K31" s="1"/>
      <c r="L31" s="1">
        <f t="shared" si="3"/>
        <v>19519041.183688521</v>
      </c>
      <c r="M31" s="1"/>
    </row>
    <row r="32" spans="1:21" x14ac:dyDescent="0.2">
      <c r="A32">
        <v>221953</v>
      </c>
      <c r="C32">
        <v>32</v>
      </c>
      <c r="E32">
        <f t="shared" si="0"/>
        <v>221953</v>
      </c>
      <c r="G32">
        <v>1</v>
      </c>
      <c r="H32">
        <f t="shared" si="1"/>
        <v>32</v>
      </c>
      <c r="J32" s="1">
        <f t="shared" si="2"/>
        <v>222481.5565189207</v>
      </c>
      <c r="K32" s="1"/>
      <c r="L32" s="1">
        <f t="shared" si="3"/>
        <v>279371.99369356543</v>
      </c>
      <c r="M32" s="1"/>
    </row>
    <row r="33" spans="1:13" x14ac:dyDescent="0.2">
      <c r="A33">
        <v>232803</v>
      </c>
      <c r="C33">
        <v>33</v>
      </c>
      <c r="E33">
        <f t="shared" si="0"/>
        <v>232803</v>
      </c>
      <c r="G33">
        <v>1</v>
      </c>
      <c r="H33">
        <f t="shared" si="1"/>
        <v>33</v>
      </c>
      <c r="J33" s="1">
        <f t="shared" si="2"/>
        <v>225177.14893444619</v>
      </c>
      <c r="K33" s="1"/>
      <c r="L33" s="1">
        <f t="shared" si="3"/>
        <v>58153604.47400821</v>
      </c>
      <c r="M33" s="1"/>
    </row>
    <row r="34" spans="1:13" x14ac:dyDescent="0.2">
      <c r="A34">
        <v>228660</v>
      </c>
      <c r="C34">
        <v>34</v>
      </c>
      <c r="E34">
        <f t="shared" si="0"/>
        <v>228660</v>
      </c>
      <c r="G34">
        <v>1</v>
      </c>
      <c r="H34">
        <f t="shared" si="1"/>
        <v>34</v>
      </c>
      <c r="J34" s="1">
        <f t="shared" si="2"/>
        <v>227872.74134997168</v>
      </c>
      <c r="K34" s="1"/>
      <c r="L34" s="1">
        <f t="shared" si="3"/>
        <v>619776.18204441504</v>
      </c>
      <c r="M34" s="1"/>
    </row>
    <row r="35" spans="1:13" x14ac:dyDescent="0.2">
      <c r="A35">
        <v>239816</v>
      </c>
      <c r="C35">
        <v>35</v>
      </c>
      <c r="E35">
        <f t="shared" si="0"/>
        <v>239816</v>
      </c>
      <c r="G35">
        <v>1</v>
      </c>
      <c r="H35">
        <f t="shared" si="1"/>
        <v>35</v>
      </c>
      <c r="J35" s="1">
        <f t="shared" si="2"/>
        <v>230568.33376549714</v>
      </c>
      <c r="K35" s="1"/>
      <c r="L35" s="1">
        <f t="shared" si="3"/>
        <v>85519330.784764305</v>
      </c>
      <c r="M35" s="1"/>
    </row>
    <row r="36" spans="1:13" x14ac:dyDescent="0.2">
      <c r="A36">
        <v>233082</v>
      </c>
      <c r="C36">
        <v>36</v>
      </c>
      <c r="E36">
        <f t="shared" si="0"/>
        <v>233082</v>
      </c>
      <c r="G36">
        <v>1</v>
      </c>
      <c r="H36">
        <f t="shared" si="1"/>
        <v>36</v>
      </c>
      <c r="J36" s="1">
        <f t="shared" si="2"/>
        <v>233263.92618102263</v>
      </c>
      <c r="K36" s="1"/>
      <c r="L36" s="1">
        <f t="shared" si="3"/>
        <v>33097.135341479021</v>
      </c>
      <c r="M36" s="1"/>
    </row>
    <row r="37" spans="1:13" x14ac:dyDescent="0.2">
      <c r="A37">
        <v>243243</v>
      </c>
      <c r="C37">
        <v>37</v>
      </c>
      <c r="E37">
        <f t="shared" si="0"/>
        <v>243243</v>
      </c>
      <c r="G37">
        <v>1</v>
      </c>
      <c r="H37">
        <f t="shared" si="1"/>
        <v>37</v>
      </c>
      <c r="J37" s="1">
        <f t="shared" si="2"/>
        <v>235959.51859654812</v>
      </c>
      <c r="K37" s="1"/>
      <c r="L37" s="1">
        <f t="shared" si="3"/>
        <v>53049101.354429349</v>
      </c>
      <c r="M37" s="1"/>
    </row>
    <row r="38" spans="1:13" x14ac:dyDescent="0.2">
      <c r="A38">
        <v>241862</v>
      </c>
      <c r="C38">
        <v>38</v>
      </c>
      <c r="E38">
        <f t="shared" si="0"/>
        <v>241862</v>
      </c>
      <c r="G38">
        <v>1</v>
      </c>
      <c r="H38">
        <f t="shared" si="1"/>
        <v>38</v>
      </c>
      <c r="J38" s="1">
        <f t="shared" si="2"/>
        <v>238655.11101207358</v>
      </c>
      <c r="K38" s="1"/>
      <c r="L38" s="1">
        <f t="shared" si="3"/>
        <v>10284136.980883719</v>
      </c>
      <c r="M38" s="1"/>
    </row>
    <row r="39" spans="1:13" x14ac:dyDescent="0.2">
      <c r="A39">
        <v>255757</v>
      </c>
      <c r="C39">
        <v>39</v>
      </c>
      <c r="E39">
        <f t="shared" si="0"/>
        <v>255757</v>
      </c>
      <c r="G39">
        <v>1</v>
      </c>
      <c r="H39">
        <f t="shared" si="1"/>
        <v>39</v>
      </c>
      <c r="J39" s="1">
        <f t="shared" si="2"/>
        <v>241350.70342759907</v>
      </c>
      <c r="K39" s="1"/>
      <c r="L39" s="1">
        <f t="shared" si="3"/>
        <v>207541380.93197069</v>
      </c>
      <c r="M39" s="1"/>
    </row>
    <row r="40" spans="1:13" x14ac:dyDescent="0.2">
      <c r="A40">
        <v>248625</v>
      </c>
      <c r="C40">
        <v>40</v>
      </c>
      <c r="E40">
        <f t="shared" si="0"/>
        <v>248625</v>
      </c>
      <c r="G40">
        <v>1</v>
      </c>
      <c r="H40">
        <f t="shared" si="1"/>
        <v>40</v>
      </c>
      <c r="J40" s="1">
        <f t="shared" si="2"/>
        <v>244046.29584312456</v>
      </c>
      <c r="K40" s="1"/>
      <c r="L40" s="1">
        <f t="shared" si="3"/>
        <v>20964531.756188396</v>
      </c>
      <c r="M40" s="1"/>
    </row>
    <row r="41" spans="1:13" x14ac:dyDescent="0.2">
      <c r="A41">
        <v>261094</v>
      </c>
      <c r="C41">
        <v>41</v>
      </c>
      <c r="E41">
        <f t="shared" si="0"/>
        <v>261094</v>
      </c>
      <c r="G41">
        <v>1</v>
      </c>
      <c r="H41">
        <f t="shared" si="1"/>
        <v>41</v>
      </c>
      <c r="J41" s="1">
        <f t="shared" si="2"/>
        <v>246741.88825865005</v>
      </c>
      <c r="K41" s="1"/>
      <c r="L41" s="1">
        <f t="shared" si="3"/>
        <v>205983111.43619496</v>
      </c>
      <c r="M41" s="1"/>
    </row>
    <row r="42" spans="1:13" x14ac:dyDescent="0.2">
      <c r="A42">
        <v>254235</v>
      </c>
      <c r="C42">
        <v>42</v>
      </c>
      <c r="E42">
        <f t="shared" si="0"/>
        <v>254235</v>
      </c>
      <c r="G42">
        <v>1</v>
      </c>
      <c r="H42">
        <f t="shared" si="1"/>
        <v>42</v>
      </c>
      <c r="J42" s="1">
        <f t="shared" si="2"/>
        <v>249437.48067417555</v>
      </c>
      <c r="K42" s="1"/>
      <c r="L42" s="1">
        <f t="shared" si="3"/>
        <v>23016191.681659129</v>
      </c>
      <c r="M42" s="1"/>
    </row>
    <row r="43" spans="1:13" x14ac:dyDescent="0.2">
      <c r="A43">
        <v>269320</v>
      </c>
      <c r="C43">
        <v>43</v>
      </c>
      <c r="E43">
        <f t="shared" si="0"/>
        <v>269320</v>
      </c>
      <c r="G43">
        <v>1</v>
      </c>
      <c r="H43">
        <f t="shared" si="1"/>
        <v>43</v>
      </c>
      <c r="J43" s="1">
        <f>$Q$10+$Q$11*H43</f>
        <v>252133.07308970101</v>
      </c>
      <c r="K43" s="1"/>
      <c r="L43" s="1">
        <f t="shared" si="3"/>
        <v>295390456.61995971</v>
      </c>
      <c r="M43" s="1"/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10E103-8F73-9C49-9818-425E9AD3A491}">
  <dimension ref="A1:I18"/>
  <sheetViews>
    <sheetView workbookViewId="0">
      <selection activeCell="M22" sqref="M22"/>
    </sheetView>
  </sheetViews>
  <sheetFormatPr baseColWidth="10" defaultRowHeight="16" x14ac:dyDescent="0.2"/>
  <sheetData>
    <row r="1" spans="1:9" x14ac:dyDescent="0.2">
      <c r="A1" t="s">
        <v>73</v>
      </c>
    </row>
    <row r="2" spans="1:9" ht="17" thickBot="1" x14ac:dyDescent="0.25"/>
    <row r="3" spans="1:9" x14ac:dyDescent="0.2">
      <c r="A3" s="8" t="s">
        <v>74</v>
      </c>
      <c r="B3" s="8"/>
    </row>
    <row r="4" spans="1:9" x14ac:dyDescent="0.2">
      <c r="A4" s="5" t="s">
        <v>75</v>
      </c>
      <c r="B4" s="5">
        <v>0.95781474830240731</v>
      </c>
    </row>
    <row r="5" spans="1:9" x14ac:dyDescent="0.2">
      <c r="A5" s="5" t="s">
        <v>76</v>
      </c>
      <c r="B5" s="5">
        <v>0.91740909206560395</v>
      </c>
    </row>
    <row r="6" spans="1:9" x14ac:dyDescent="0.2">
      <c r="A6" s="5" t="s">
        <v>77</v>
      </c>
      <c r="B6" s="5">
        <v>0.91534431936724414</v>
      </c>
    </row>
    <row r="7" spans="1:9" x14ac:dyDescent="0.2">
      <c r="A7" s="5" t="s">
        <v>78</v>
      </c>
      <c r="B7" s="5">
        <v>10045.441032143333</v>
      </c>
    </row>
    <row r="8" spans="1:9" ht="17" thickBot="1" x14ac:dyDescent="0.25">
      <c r="A8" s="6" t="s">
        <v>79</v>
      </c>
      <c r="B8" s="6">
        <v>42</v>
      </c>
    </row>
    <row r="10" spans="1:9" ht="17" thickBot="1" x14ac:dyDescent="0.25">
      <c r="A10" t="s">
        <v>80</v>
      </c>
    </row>
    <row r="11" spans="1:9" x14ac:dyDescent="0.2">
      <c r="A11" s="7"/>
      <c r="B11" s="7" t="s">
        <v>85</v>
      </c>
      <c r="C11" s="7" t="s">
        <v>86</v>
      </c>
      <c r="D11" s="7" t="s">
        <v>87</v>
      </c>
      <c r="E11" s="7" t="s">
        <v>88</v>
      </c>
      <c r="F11" s="7" t="s">
        <v>89</v>
      </c>
    </row>
    <row r="12" spans="1:9" x14ac:dyDescent="0.2">
      <c r="A12" s="5" t="s">
        <v>81</v>
      </c>
      <c r="B12" s="5">
        <v>1</v>
      </c>
      <c r="C12" s="5">
        <v>44836201073.074959</v>
      </c>
      <c r="D12" s="5">
        <v>44836201073.074959</v>
      </c>
      <c r="E12" s="5">
        <v>444.31481140482146</v>
      </c>
      <c r="F12" s="5">
        <v>2.8486104637817849E-23</v>
      </c>
    </row>
    <row r="13" spans="1:9" x14ac:dyDescent="0.2">
      <c r="A13" s="5" t="s">
        <v>82</v>
      </c>
      <c r="B13" s="5">
        <v>40</v>
      </c>
      <c r="C13" s="5">
        <v>4036435421.2107563</v>
      </c>
      <c r="D13" s="5">
        <v>100910885.53026891</v>
      </c>
      <c r="E13" s="5"/>
      <c r="F13" s="5"/>
    </row>
    <row r="14" spans="1:9" ht="17" thickBot="1" x14ac:dyDescent="0.25">
      <c r="A14" s="6" t="s">
        <v>83</v>
      </c>
      <c r="B14" s="6">
        <v>41</v>
      </c>
      <c r="C14" s="6">
        <v>48872636494.285713</v>
      </c>
      <c r="D14" s="6"/>
      <c r="E14" s="6"/>
      <c r="F14" s="6"/>
    </row>
    <row r="15" spans="1:9" ht="17" thickBot="1" x14ac:dyDescent="0.25"/>
    <row r="16" spans="1:9" x14ac:dyDescent="0.2">
      <c r="A16" s="7"/>
      <c r="B16" s="7" t="s">
        <v>90</v>
      </c>
      <c r="C16" s="7" t="s">
        <v>78</v>
      </c>
      <c r="D16" s="7" t="s">
        <v>91</v>
      </c>
      <c r="E16" s="7" t="s">
        <v>92</v>
      </c>
      <c r="F16" s="7" t="s">
        <v>93</v>
      </c>
      <c r="G16" s="7" t="s">
        <v>94</v>
      </c>
      <c r="H16" s="7" t="s">
        <v>95</v>
      </c>
      <c r="I16" s="7" t="s">
        <v>96</v>
      </c>
    </row>
    <row r="17" spans="1:9" x14ac:dyDescent="0.2">
      <c r="A17" s="5" t="s">
        <v>84</v>
      </c>
      <c r="B17" s="5">
        <v>136222.59922210517</v>
      </c>
      <c r="C17" s="5">
        <v>3268.2918944009725</v>
      </c>
      <c r="D17" s="5">
        <v>41.680059071673789</v>
      </c>
      <c r="E17" s="5">
        <v>1.41007295833319E-34</v>
      </c>
      <c r="F17" s="5">
        <v>129617.13490599389</v>
      </c>
      <c r="G17" s="5">
        <v>142828.06353821646</v>
      </c>
      <c r="H17" s="5">
        <v>129617.13490599389</v>
      </c>
      <c r="I17" s="5">
        <v>142828.06353821646</v>
      </c>
    </row>
    <row r="18" spans="1:9" ht="17" thickBot="1" x14ac:dyDescent="0.25">
      <c r="A18" s="6" t="s">
        <v>97</v>
      </c>
      <c r="B18" s="6">
        <v>2695.5924155254852</v>
      </c>
      <c r="C18" s="6">
        <v>127.88182643176475</v>
      </c>
      <c r="D18" s="6">
        <v>21.078776326077893</v>
      </c>
      <c r="E18" s="6">
        <v>2.8486104637817649E-23</v>
      </c>
      <c r="F18" s="6">
        <v>2437.133603256827</v>
      </c>
      <c r="G18" s="6">
        <v>2954.0512277941434</v>
      </c>
      <c r="H18" s="6">
        <v>2437.133603256827</v>
      </c>
      <c r="I18" s="6">
        <v>2954.0512277941434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EF992-7BAA-3D4B-A73C-4A048744499F}">
  <dimension ref="A1:BF43"/>
  <sheetViews>
    <sheetView topLeftCell="F10" workbookViewId="0">
      <selection activeCell="T21" sqref="T21"/>
    </sheetView>
  </sheetViews>
  <sheetFormatPr baseColWidth="10" defaultRowHeight="16" x14ac:dyDescent="0.2"/>
  <cols>
    <col min="14" max="14" width="13.5" customWidth="1"/>
    <col min="17" max="17" width="18.33203125" customWidth="1"/>
    <col min="19" max="19" width="12.1640625" bestFit="1" customWidth="1"/>
    <col min="21" max="21" width="12.1640625" bestFit="1" customWidth="1"/>
    <col min="22" max="22" width="11.1640625" bestFit="1" customWidth="1"/>
  </cols>
  <sheetData>
    <row r="1" spans="1:58" x14ac:dyDescent="0.2">
      <c r="A1" s="3" t="s">
        <v>107</v>
      </c>
      <c r="B1" s="3"/>
      <c r="C1" s="3" t="s">
        <v>108</v>
      </c>
      <c r="E1" s="3" t="s">
        <v>61</v>
      </c>
      <c r="G1" s="3" t="s">
        <v>60</v>
      </c>
      <c r="J1" s="3" t="s">
        <v>67</v>
      </c>
      <c r="K1" s="3"/>
      <c r="L1" s="3" t="s">
        <v>109</v>
      </c>
      <c r="N1" s="3" t="s">
        <v>110</v>
      </c>
      <c r="Q1" s="3" t="s">
        <v>62</v>
      </c>
    </row>
    <row r="2" spans="1:58" x14ac:dyDescent="0.2">
      <c r="A2">
        <v>150816</v>
      </c>
      <c r="C2">
        <v>2</v>
      </c>
      <c r="E2">
        <f>LN(A2)</f>
        <v>11.923815829723457</v>
      </c>
      <c r="G2">
        <v>1</v>
      </c>
      <c r="H2">
        <f>LN(C2)</f>
        <v>0.69314718055994529</v>
      </c>
      <c r="J2" s="1">
        <f>EXP($S$10)*C2^($S$11)</f>
        <v>127700.51973320972</v>
      </c>
      <c r="K2" s="1"/>
      <c r="L2" s="1">
        <f>LN(J2)</f>
        <v>11.757443111967005</v>
      </c>
      <c r="M2" s="1"/>
      <c r="N2" s="1">
        <f>(L2-E2)^2</f>
        <v>2.7679881213668191E-2</v>
      </c>
      <c r="O2" s="1"/>
      <c r="Q2" cm="1">
        <f t="array" ref="Q2:BF3">TRANSPOSE(G2:H43)</f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  <c r="AG2">
        <v>1</v>
      </c>
      <c r="AH2">
        <v>1</v>
      </c>
      <c r="AI2">
        <v>1</v>
      </c>
      <c r="AJ2">
        <v>1</v>
      </c>
      <c r="AK2">
        <v>1</v>
      </c>
      <c r="AL2">
        <v>1</v>
      </c>
      <c r="AM2">
        <v>1</v>
      </c>
      <c r="AN2">
        <v>1</v>
      </c>
      <c r="AO2">
        <v>1</v>
      </c>
      <c r="AP2">
        <v>1</v>
      </c>
      <c r="AQ2">
        <v>1</v>
      </c>
      <c r="AR2">
        <v>1</v>
      </c>
      <c r="AS2">
        <v>1</v>
      </c>
      <c r="AT2">
        <v>1</v>
      </c>
      <c r="AU2">
        <v>1</v>
      </c>
      <c r="AV2">
        <v>1</v>
      </c>
      <c r="AW2">
        <v>1</v>
      </c>
      <c r="AX2">
        <v>1</v>
      </c>
      <c r="AY2">
        <v>1</v>
      </c>
      <c r="AZ2">
        <v>1</v>
      </c>
      <c r="BA2">
        <v>1</v>
      </c>
      <c r="BB2">
        <v>1</v>
      </c>
      <c r="BC2">
        <v>1</v>
      </c>
      <c r="BD2">
        <v>1</v>
      </c>
      <c r="BE2">
        <v>1</v>
      </c>
      <c r="BF2">
        <v>1</v>
      </c>
    </row>
    <row r="3" spans="1:58" x14ac:dyDescent="0.2">
      <c r="A3">
        <v>159663</v>
      </c>
      <c r="C3">
        <v>3</v>
      </c>
      <c r="E3">
        <f t="shared" ref="E3:E43" si="0">LN(A3)</f>
        <v>11.98082062295186</v>
      </c>
      <c r="G3">
        <v>1</v>
      </c>
      <c r="H3">
        <f t="shared" ref="H3:H43" si="1">LN(C3)</f>
        <v>1.0986122886681098</v>
      </c>
      <c r="J3" s="1">
        <f t="shared" ref="J3:J43" si="2">EXP($S$10)*C3^($S$11)</f>
        <v>137937.0376060445</v>
      </c>
      <c r="K3" s="1"/>
      <c r="L3" s="1">
        <f t="shared" ref="L3:L43" si="3">LN(J3)</f>
        <v>11.834552610794431</v>
      </c>
      <c r="M3" s="1"/>
      <c r="N3" s="1">
        <f t="shared" ref="N3:N43" si="4">(L3-E3)^2</f>
        <v>2.1394331380486031E-2</v>
      </c>
      <c r="O3" s="1"/>
      <c r="Q3">
        <v>0.69314718055994529</v>
      </c>
      <c r="R3">
        <v>1.0986122886681098</v>
      </c>
      <c r="S3">
        <v>1.3862943611198906</v>
      </c>
      <c r="T3">
        <v>1.6094379124341003</v>
      </c>
      <c r="U3">
        <v>1.791759469228055</v>
      </c>
      <c r="V3">
        <v>1.9459101490553132</v>
      </c>
      <c r="W3">
        <v>2.0794415416798357</v>
      </c>
      <c r="X3">
        <v>2.1972245773362196</v>
      </c>
      <c r="Y3">
        <v>2.3025850929940459</v>
      </c>
      <c r="Z3">
        <v>2.3978952727983707</v>
      </c>
      <c r="AA3">
        <v>2.4849066497880004</v>
      </c>
      <c r="AB3">
        <v>2.5649493574615367</v>
      </c>
      <c r="AC3">
        <v>2.6390573296152584</v>
      </c>
      <c r="AD3">
        <v>2.7080502011022101</v>
      </c>
      <c r="AE3">
        <v>2.7725887222397811</v>
      </c>
      <c r="AF3">
        <v>2.8332133440562162</v>
      </c>
      <c r="AG3">
        <v>2.8903717578961645</v>
      </c>
      <c r="AH3">
        <v>2.9444389791664403</v>
      </c>
      <c r="AI3">
        <v>2.9957322735539909</v>
      </c>
      <c r="AJ3">
        <v>3.044522437723423</v>
      </c>
      <c r="AK3">
        <v>3.0910424533583161</v>
      </c>
      <c r="AL3">
        <v>3.1354942159291497</v>
      </c>
      <c r="AM3">
        <v>3.1780538303479458</v>
      </c>
      <c r="AN3">
        <v>3.2188758248682006</v>
      </c>
      <c r="AO3">
        <v>3.2580965380214821</v>
      </c>
      <c r="AP3">
        <v>3.2958368660043291</v>
      </c>
      <c r="AQ3">
        <v>3.3322045101752038</v>
      </c>
      <c r="AR3">
        <v>3.3672958299864741</v>
      </c>
      <c r="AS3">
        <v>3.4011973816621555</v>
      </c>
      <c r="AT3">
        <v>3.4339872044851463</v>
      </c>
      <c r="AU3">
        <v>3.4657359027997265</v>
      </c>
      <c r="AV3">
        <v>3.4965075614664802</v>
      </c>
      <c r="AW3">
        <v>3.5263605246161616</v>
      </c>
      <c r="AX3">
        <v>3.5553480614894135</v>
      </c>
      <c r="AY3">
        <v>3.5835189384561099</v>
      </c>
      <c r="AZ3">
        <v>3.6109179126442243</v>
      </c>
      <c r="BA3">
        <v>3.6375861597263857</v>
      </c>
      <c r="BB3">
        <v>3.6635616461296463</v>
      </c>
      <c r="BC3">
        <v>3.6888794541139363</v>
      </c>
      <c r="BD3">
        <v>3.713572066704308</v>
      </c>
      <c r="BE3">
        <v>3.7376696182833684</v>
      </c>
      <c r="BF3">
        <v>3.7612001156935624</v>
      </c>
    </row>
    <row r="4" spans="1:58" x14ac:dyDescent="0.2">
      <c r="A4">
        <v>155573</v>
      </c>
      <c r="C4">
        <v>4</v>
      </c>
      <c r="E4">
        <f t="shared" si="0"/>
        <v>11.954870353818871</v>
      </c>
      <c r="G4">
        <v>1</v>
      </c>
      <c r="H4">
        <f t="shared" si="1"/>
        <v>1.3862943611198906</v>
      </c>
      <c r="J4" s="1">
        <f t="shared" si="2"/>
        <v>145693.83391701739</v>
      </c>
      <c r="K4" s="1"/>
      <c r="L4" s="1">
        <f t="shared" si="3"/>
        <v>11.889262670882941</v>
      </c>
      <c r="M4" s="1"/>
      <c r="N4" s="1">
        <f t="shared" si="4"/>
        <v>4.3043680602215207E-3</v>
      </c>
      <c r="O4" s="1"/>
    </row>
    <row r="5" spans="1:58" x14ac:dyDescent="0.2">
      <c r="A5">
        <v>161574</v>
      </c>
      <c r="C5">
        <v>5</v>
      </c>
      <c r="E5">
        <f t="shared" si="0"/>
        <v>11.992718521035663</v>
      </c>
      <c r="G5">
        <v>1</v>
      </c>
      <c r="H5">
        <f t="shared" si="1"/>
        <v>1.6094379124341003</v>
      </c>
      <c r="J5" s="1">
        <f t="shared" si="2"/>
        <v>152009.62046427326</v>
      </c>
      <c r="K5" s="1"/>
      <c r="L5" s="1">
        <f t="shared" si="3"/>
        <v>11.931699090353639</v>
      </c>
      <c r="M5" s="1"/>
      <c r="N5" s="1">
        <f t="shared" si="4"/>
        <v>3.723370920758248E-3</v>
      </c>
      <c r="O5" s="1"/>
      <c r="Q5" s="3" t="s">
        <v>63</v>
      </c>
      <c r="T5" s="3" t="s">
        <v>64</v>
      </c>
    </row>
    <row r="6" spans="1:58" x14ac:dyDescent="0.2">
      <c r="A6">
        <v>154922</v>
      </c>
      <c r="C6">
        <v>6</v>
      </c>
      <c r="E6">
        <f t="shared" si="0"/>
        <v>11.950677043434332</v>
      </c>
      <c r="G6">
        <v>1</v>
      </c>
      <c r="H6">
        <f t="shared" si="1"/>
        <v>1.791759469228055</v>
      </c>
      <c r="J6" s="1">
        <f t="shared" si="2"/>
        <v>157372.70208426667</v>
      </c>
      <c r="K6" s="1"/>
      <c r="L6" s="1">
        <f t="shared" si="3"/>
        <v>11.966372169710365</v>
      </c>
      <c r="M6" s="1"/>
      <c r="N6" s="1">
        <f t="shared" si="4"/>
        <v>2.4633698882059989E-4</v>
      </c>
      <c r="O6" s="1"/>
      <c r="Q6" cm="1">
        <f t="array" ref="Q6:R7">MMULT(_xlfn.ANCHORARRAY(Q2),G2:H43)</f>
        <v>42</v>
      </c>
      <c r="R6">
        <v>121.53308151543864</v>
      </c>
      <c r="T6" cm="1">
        <f t="array" ref="T6:U7">MINVERSE(_xlfn.ANCHORARRAY(Q6))</f>
        <v>0.36909976099454106</v>
      </c>
      <c r="U6">
        <v>-0.11932709827594125</v>
      </c>
    </row>
    <row r="7" spans="1:58" x14ac:dyDescent="0.2">
      <c r="A7">
        <v>164049</v>
      </c>
      <c r="C7">
        <v>7</v>
      </c>
      <c r="E7">
        <f t="shared" si="0"/>
        <v>12.007920442668139</v>
      </c>
      <c r="G7">
        <v>1</v>
      </c>
      <c r="H7">
        <f t="shared" si="1"/>
        <v>1.9459101490553132</v>
      </c>
      <c r="J7" s="1">
        <f t="shared" si="2"/>
        <v>162054.47783192011</v>
      </c>
      <c r="K7" s="1"/>
      <c r="L7" s="1">
        <f t="shared" si="3"/>
        <v>11.995687840597183</v>
      </c>
      <c r="M7" s="1"/>
      <c r="N7" s="1">
        <f t="shared" si="4"/>
        <v>1.496365534263516E-4</v>
      </c>
      <c r="O7" s="1"/>
      <c r="Q7">
        <v>121.53308151543864</v>
      </c>
      <c r="R7">
        <v>375.92325622924091</v>
      </c>
      <c r="T7">
        <v>-0.11932709827594126</v>
      </c>
      <c r="U7">
        <v>4.1237645463246812E-2</v>
      </c>
    </row>
    <row r="8" spans="1:58" x14ac:dyDescent="0.2">
      <c r="A8">
        <v>159126</v>
      </c>
      <c r="C8">
        <v>8</v>
      </c>
      <c r="E8">
        <f t="shared" si="0"/>
        <v>11.977451620207596</v>
      </c>
      <c r="G8">
        <v>1</v>
      </c>
      <c r="H8">
        <f t="shared" si="1"/>
        <v>2.0794415416798357</v>
      </c>
      <c r="J8" s="1">
        <f t="shared" si="2"/>
        <v>166222.44988341458</v>
      </c>
      <c r="K8" s="1"/>
      <c r="L8" s="1">
        <f t="shared" si="3"/>
        <v>12.021082229798875</v>
      </c>
      <c r="M8" s="1"/>
      <c r="N8" s="1">
        <f t="shared" si="4"/>
        <v>1.903630093306613E-3</v>
      </c>
      <c r="O8" s="1"/>
    </row>
    <row r="9" spans="1:58" x14ac:dyDescent="0.2">
      <c r="A9">
        <v>166215</v>
      </c>
      <c r="C9">
        <v>9</v>
      </c>
      <c r="E9">
        <f t="shared" si="0"/>
        <v>12.021037410038536</v>
      </c>
      <c r="G9">
        <v>1</v>
      </c>
      <c r="H9">
        <f t="shared" si="1"/>
        <v>2.1972245773362196</v>
      </c>
      <c r="J9" s="1">
        <f t="shared" si="2"/>
        <v>169987.75236712748</v>
      </c>
      <c r="K9" s="1"/>
      <c r="L9" s="1">
        <f t="shared" si="3"/>
        <v>12.04348166853779</v>
      </c>
      <c r="M9" s="1"/>
      <c r="N9" s="1">
        <f t="shared" si="4"/>
        <v>5.0374473958134135E-4</v>
      </c>
      <c r="O9" s="1"/>
      <c r="Q9" s="3" t="s">
        <v>65</v>
      </c>
      <c r="S9" s="3" t="s">
        <v>66</v>
      </c>
    </row>
    <row r="10" spans="1:58" x14ac:dyDescent="0.2">
      <c r="A10">
        <v>161419</v>
      </c>
      <c r="C10">
        <v>10</v>
      </c>
      <c r="E10">
        <f t="shared" si="0"/>
        <v>11.99175874783997</v>
      </c>
      <c r="G10">
        <v>1</v>
      </c>
      <c r="H10">
        <f t="shared" si="1"/>
        <v>2.3025850929940459</v>
      </c>
      <c r="J10" s="1">
        <f t="shared" si="2"/>
        <v>173428.14613424931</v>
      </c>
      <c r="K10" s="1"/>
      <c r="L10" s="1">
        <f t="shared" si="3"/>
        <v>12.063518649269575</v>
      </c>
      <c r="M10" s="1"/>
      <c r="N10" s="1">
        <f t="shared" si="4"/>
        <v>5.1494834531866061E-3</v>
      </c>
      <c r="O10" s="1"/>
      <c r="Q10" cm="1">
        <f t="array" ref="Q10:Q11">MMULT(_xlfn.ANCHORARRAY(Q2),E2:E43)</f>
        <v>511.38879452810079</v>
      </c>
      <c r="S10" cm="1">
        <f t="array" ref="S10:S11">MMULT(_xlfn.ANCHORARRAY(T6),_xlfn.ANCHORARRAY(Q10))</f>
        <v>11.625623553051071</v>
      </c>
      <c r="U10" t="s">
        <v>103</v>
      </c>
    </row>
    <row r="11" spans="1:58" x14ac:dyDescent="0.2">
      <c r="A11">
        <v>171164</v>
      </c>
      <c r="C11">
        <v>11</v>
      </c>
      <c r="E11">
        <f t="shared" si="0"/>
        <v>12.050377440203929</v>
      </c>
      <c r="G11">
        <v>1</v>
      </c>
      <c r="H11">
        <f t="shared" si="1"/>
        <v>2.3978952727983707</v>
      </c>
      <c r="J11" s="1">
        <f t="shared" si="2"/>
        <v>176600.30657215853</v>
      </c>
      <c r="K11" s="1"/>
      <c r="L11" s="1">
        <f t="shared" si="3"/>
        <v>12.081644303119678</v>
      </c>
      <c r="M11" s="1"/>
      <c r="N11" s="1">
        <f t="shared" si="4"/>
        <v>9.7761671659219048E-4</v>
      </c>
      <c r="O11" s="1"/>
      <c r="Q11">
        <v>1484.3892195631304</v>
      </c>
      <c r="S11">
        <v>0.1901754239401896</v>
      </c>
      <c r="U11" t="s">
        <v>104</v>
      </c>
    </row>
    <row r="12" spans="1:58" x14ac:dyDescent="0.2">
      <c r="A12">
        <v>166103</v>
      </c>
      <c r="C12">
        <v>12</v>
      </c>
      <c r="E12">
        <f t="shared" si="0"/>
        <v>12.020363356847071</v>
      </c>
      <c r="G12">
        <v>1</v>
      </c>
      <c r="H12">
        <f t="shared" si="1"/>
        <v>2.4849066497880004</v>
      </c>
      <c r="J12" s="1">
        <f t="shared" si="2"/>
        <v>179546.89901371408</v>
      </c>
      <c r="K12" s="1"/>
      <c r="L12" s="1">
        <f t="shared" si="3"/>
        <v>12.098191728626301</v>
      </c>
      <c r="M12" s="1"/>
      <c r="N12" s="1">
        <f t="shared" si="4"/>
        <v>6.0572554538060224E-3</v>
      </c>
      <c r="O12" s="1"/>
    </row>
    <row r="13" spans="1:58" x14ac:dyDescent="0.2">
      <c r="A13">
        <v>173248</v>
      </c>
      <c r="C13">
        <v>13</v>
      </c>
      <c r="E13">
        <f t="shared" si="0"/>
        <v>12.062479372973973</v>
      </c>
      <c r="G13">
        <v>1</v>
      </c>
      <c r="H13">
        <f t="shared" si="1"/>
        <v>2.5649493574615367</v>
      </c>
      <c r="J13" s="1">
        <f t="shared" si="2"/>
        <v>182300.89761544918</v>
      </c>
      <c r="K13" s="1"/>
      <c r="L13" s="1">
        <f t="shared" si="3"/>
        <v>12.113413884491436</v>
      </c>
      <c r="M13" s="1"/>
      <c r="N13" s="1">
        <f t="shared" si="4"/>
        <v>2.5943244635225574E-3</v>
      </c>
      <c r="O13" s="1"/>
      <c r="Q13" s="3" t="s">
        <v>99</v>
      </c>
      <c r="S13" s="3" t="s">
        <v>100</v>
      </c>
      <c r="V13" s="3"/>
    </row>
    <row r="14" spans="1:58" x14ac:dyDescent="0.2">
      <c r="A14">
        <v>170056</v>
      </c>
      <c r="C14">
        <v>14</v>
      </c>
      <c r="E14">
        <f t="shared" si="0"/>
        <v>12.043883073552962</v>
      </c>
      <c r="G14">
        <v>1</v>
      </c>
      <c r="H14">
        <f t="shared" si="1"/>
        <v>2.6390573296152584</v>
      </c>
      <c r="J14" s="1">
        <f t="shared" si="2"/>
        <v>184888.34836443234</v>
      </c>
      <c r="K14" s="1"/>
      <c r="L14" s="1">
        <f t="shared" si="3"/>
        <v>12.127507399513117</v>
      </c>
      <c r="M14" s="1"/>
      <c r="N14" s="1">
        <f t="shared" si="4"/>
        <v>6.9930278922902926E-3</v>
      </c>
      <c r="O14" s="1"/>
      <c r="Q14" s="1">
        <f>SUM(N2:N43)</f>
        <v>0.30768508420762608</v>
      </c>
      <c r="S14">
        <f>Q14/(COUNT(J2:J43)-2)</f>
        <v>7.6921271051906522E-3</v>
      </c>
    </row>
    <row r="15" spans="1:58" x14ac:dyDescent="0.2">
      <c r="A15">
        <v>179008</v>
      </c>
      <c r="C15">
        <v>15</v>
      </c>
      <c r="E15">
        <f t="shared" si="0"/>
        <v>12.095185776561632</v>
      </c>
      <c r="G15">
        <v>1</v>
      </c>
      <c r="H15">
        <f t="shared" si="1"/>
        <v>2.7080502011022101</v>
      </c>
      <c r="J15" s="1">
        <f t="shared" si="2"/>
        <v>187330.20637068982</v>
      </c>
      <c r="K15" s="1"/>
      <c r="L15" s="1">
        <f t="shared" si="3"/>
        <v>12.140628148096999</v>
      </c>
      <c r="M15" s="1"/>
      <c r="N15" s="1">
        <f t="shared" si="4"/>
        <v>2.0650091307583642E-3</v>
      </c>
      <c r="O15" s="1"/>
    </row>
    <row r="16" spans="1:58" x14ac:dyDescent="0.2">
      <c r="A16">
        <v>173652</v>
      </c>
      <c r="C16">
        <v>16</v>
      </c>
      <c r="E16">
        <f t="shared" si="0"/>
        <v>12.064808575525992</v>
      </c>
      <c r="G16">
        <v>1</v>
      </c>
      <c r="H16">
        <f t="shared" si="1"/>
        <v>2.7725887222397811</v>
      </c>
      <c r="J16" s="1">
        <f t="shared" si="2"/>
        <v>189643.59782708026</v>
      </c>
      <c r="K16" s="1"/>
      <c r="L16" s="1">
        <f t="shared" si="3"/>
        <v>12.152901788714809</v>
      </c>
      <c r="M16" s="1"/>
      <c r="N16" s="1">
        <f t="shared" si="4"/>
        <v>7.7604142099302869E-3</v>
      </c>
      <c r="O16" s="1"/>
      <c r="Q16" s="3" t="s">
        <v>101</v>
      </c>
    </row>
    <row r="17" spans="1:21" x14ac:dyDescent="0.2">
      <c r="A17">
        <v>180841</v>
      </c>
      <c r="C17">
        <v>17</v>
      </c>
      <c r="E17">
        <f t="shared" si="0"/>
        <v>12.105373471143308</v>
      </c>
      <c r="G17">
        <v>1</v>
      </c>
      <c r="H17">
        <f t="shared" si="1"/>
        <v>2.8332133440562162</v>
      </c>
      <c r="J17" s="1">
        <f t="shared" si="2"/>
        <v>191842.71102695374</v>
      </c>
      <c r="K17" s="1"/>
      <c r="L17" s="1">
        <f t="shared" si="3"/>
        <v>12.164431101869964</v>
      </c>
      <c r="M17" s="1"/>
      <c r="N17" s="1">
        <f t="shared" si="4"/>
        <v>3.4878037470460546E-3</v>
      </c>
      <c r="O17" s="1"/>
      <c r="Q17" s="3">
        <f>$S$14*T6</f>
        <v>2.8391622760655009E-3</v>
      </c>
      <c r="R17" s="3">
        <f>$S$14*U6</f>
        <v>-9.1787920703211641E-4</v>
      </c>
      <c r="S17" s="3"/>
      <c r="T17" s="3"/>
      <c r="U17" s="3"/>
    </row>
    <row r="18" spans="1:21" x14ac:dyDescent="0.2">
      <c r="A18">
        <v>178780</v>
      </c>
      <c r="C18">
        <v>18</v>
      </c>
      <c r="E18">
        <f t="shared" si="0"/>
        <v>12.093911278641844</v>
      </c>
      <c r="G18">
        <v>1</v>
      </c>
      <c r="H18">
        <f t="shared" si="1"/>
        <v>2.8903717578961645</v>
      </c>
      <c r="J18" s="1">
        <f t="shared" si="2"/>
        <v>193939.44059933745</v>
      </c>
      <c r="K18" s="1"/>
      <c r="L18" s="1">
        <f t="shared" si="3"/>
        <v>12.175301227453724</v>
      </c>
      <c r="M18" s="1"/>
      <c r="N18" s="1">
        <f t="shared" si="4"/>
        <v>6.6243237676005002E-3</v>
      </c>
      <c r="O18" s="1"/>
      <c r="Q18" s="3">
        <f>$S$14*T7</f>
        <v>-9.1787920703211652E-4</v>
      </c>
      <c r="R18" s="3">
        <f>$S$14*U7</f>
        <v>3.1720521042208312E-4</v>
      </c>
    </row>
    <row r="19" spans="1:21" x14ac:dyDescent="0.2">
      <c r="A19">
        <v>188735</v>
      </c>
      <c r="C19">
        <v>19</v>
      </c>
      <c r="E19">
        <f t="shared" si="0"/>
        <v>12.148099193754673</v>
      </c>
      <c r="G19">
        <v>1</v>
      </c>
      <c r="H19">
        <f t="shared" si="1"/>
        <v>2.9444389791664403</v>
      </c>
      <c r="J19" s="1">
        <f t="shared" si="2"/>
        <v>195943.8630503247</v>
      </c>
      <c r="K19" s="1"/>
      <c r="L19" s="1">
        <f t="shared" si="3"/>
        <v>12.185583484180068</v>
      </c>
      <c r="M19" s="1"/>
      <c r="N19" s="1">
        <f t="shared" si="4"/>
        <v>1.405072028695353E-3</v>
      </c>
      <c r="O19" s="1"/>
    </row>
    <row r="20" spans="1:21" x14ac:dyDescent="0.2">
      <c r="A20">
        <v>182497</v>
      </c>
      <c r="C20">
        <v>20</v>
      </c>
      <c r="E20">
        <f t="shared" si="0"/>
        <v>12.114489013513408</v>
      </c>
      <c r="G20">
        <v>1</v>
      </c>
      <c r="H20">
        <f t="shared" si="1"/>
        <v>2.9957322735539909</v>
      </c>
      <c r="J20" s="1">
        <f t="shared" si="2"/>
        <v>197864.59422567653</v>
      </c>
      <c r="K20" s="1"/>
      <c r="L20" s="1">
        <f t="shared" si="3"/>
        <v>12.195338208185509</v>
      </c>
      <c r="M20" s="1"/>
      <c r="N20" s="1">
        <f t="shared" si="4"/>
        <v>6.5365922791273297E-3</v>
      </c>
      <c r="O20" s="1"/>
      <c r="Q20" s="3" t="s">
        <v>102</v>
      </c>
    </row>
    <row r="21" spans="1:21" x14ac:dyDescent="0.2">
      <c r="A21">
        <v>189496</v>
      </c>
      <c r="C21">
        <v>21</v>
      </c>
      <c r="E21">
        <f t="shared" si="0"/>
        <v>12.152123195102417</v>
      </c>
      <c r="G21">
        <v>1</v>
      </c>
      <c r="H21">
        <f t="shared" si="1"/>
        <v>3.044522437723423</v>
      </c>
      <c r="J21" s="1">
        <f t="shared" si="2"/>
        <v>199709.06237926515</v>
      </c>
      <c r="K21" s="1"/>
      <c r="L21" s="1">
        <f t="shared" si="3"/>
        <v>12.204616898340543</v>
      </c>
      <c r="M21" s="1"/>
      <c r="N21" s="1">
        <f t="shared" si="4"/>
        <v>2.7555888796524015E-3</v>
      </c>
      <c r="O21" s="1"/>
      <c r="Q21">
        <f>SQRT(Q17)</f>
        <v>5.3283789993444547E-2</v>
      </c>
      <c r="R21" t="e">
        <f>SQRT(R17)</f>
        <v>#NUM!</v>
      </c>
      <c r="T21" t="s">
        <v>105</v>
      </c>
    </row>
    <row r="22" spans="1:21" x14ac:dyDescent="0.2">
      <c r="A22">
        <v>182537</v>
      </c>
      <c r="C22">
        <v>22</v>
      </c>
      <c r="E22">
        <f t="shared" si="0"/>
        <v>12.114708171181789</v>
      </c>
      <c r="G22">
        <v>1</v>
      </c>
      <c r="H22">
        <f t="shared" si="1"/>
        <v>3.0910424533583161</v>
      </c>
      <c r="J22" s="1">
        <f t="shared" si="2"/>
        <v>201483.71979356327</v>
      </c>
      <c r="K22" s="1"/>
      <c r="L22" s="1">
        <f t="shared" si="3"/>
        <v>12.213463862035612</v>
      </c>
      <c r="M22" s="1"/>
      <c r="N22" s="1">
        <f t="shared" si="4"/>
        <v>9.7526864760158084E-3</v>
      </c>
      <c r="O22" s="1"/>
      <c r="Q22" t="e">
        <f>SQRT(Q18)</f>
        <v>#NUM!</v>
      </c>
      <c r="R22">
        <f>SQRT(R18)</f>
        <v>1.7810255765206829E-2</v>
      </c>
      <c r="T22" t="s">
        <v>106</v>
      </c>
    </row>
    <row r="23" spans="1:21" ht="17" thickBot="1" x14ac:dyDescent="0.25">
      <c r="A23">
        <v>175396</v>
      </c>
      <c r="C23">
        <v>23</v>
      </c>
      <c r="E23">
        <f t="shared" si="0"/>
        <v>12.074801553643077</v>
      </c>
      <c r="G23">
        <v>1</v>
      </c>
      <c r="H23">
        <f t="shared" si="1"/>
        <v>3.1354942159291497</v>
      </c>
      <c r="J23" s="1">
        <f t="shared" si="2"/>
        <v>203194.20891116309</v>
      </c>
      <c r="K23" s="1"/>
      <c r="L23" s="1">
        <f t="shared" si="3"/>
        <v>12.221917494827409</v>
      </c>
      <c r="M23" s="1"/>
      <c r="N23" s="1">
        <f t="shared" si="4"/>
        <v>2.164310015055174E-2</v>
      </c>
      <c r="O23" s="1"/>
    </row>
    <row r="24" spans="1:21" x14ac:dyDescent="0.2">
      <c r="A24">
        <v>179815</v>
      </c>
      <c r="C24">
        <v>24</v>
      </c>
      <c r="E24">
        <f t="shared" si="0"/>
        <v>12.099683823568821</v>
      </c>
      <c r="G24">
        <v>1</v>
      </c>
      <c r="H24">
        <f t="shared" si="1"/>
        <v>3.1780538303479458</v>
      </c>
      <c r="J24" s="1">
        <f t="shared" si="2"/>
        <v>204845.49428514729</v>
      </c>
      <c r="K24" s="1"/>
      <c r="L24" s="1">
        <f t="shared" si="3"/>
        <v>12.230011287542235</v>
      </c>
      <c r="M24" s="1"/>
      <c r="N24" s="1">
        <f t="shared" si="4"/>
        <v>1.6985247865741463E-2</v>
      </c>
      <c r="O24" s="1"/>
      <c r="Q24" s="13" t="s">
        <v>68</v>
      </c>
      <c r="R24" s="14" t="s">
        <v>69</v>
      </c>
      <c r="S24" s="14" t="s">
        <v>70</v>
      </c>
      <c r="T24" s="14" t="s">
        <v>71</v>
      </c>
      <c r="U24" s="15" t="s">
        <v>72</v>
      </c>
    </row>
    <row r="25" spans="1:21" x14ac:dyDescent="0.2">
      <c r="A25">
        <v>188401</v>
      </c>
      <c r="C25">
        <v>25</v>
      </c>
      <c r="E25">
        <f t="shared" si="0"/>
        <v>12.14632794896594</v>
      </c>
      <c r="G25">
        <v>1</v>
      </c>
      <c r="H25">
        <f t="shared" si="1"/>
        <v>3.2188758248682006</v>
      </c>
      <c r="J25" s="1">
        <f t="shared" si="2"/>
        <v>206441.96849602857</v>
      </c>
      <c r="K25" s="1"/>
      <c r="L25" s="1">
        <f t="shared" si="3"/>
        <v>12.237774627656208</v>
      </c>
      <c r="M25" s="1"/>
      <c r="N25" s="1">
        <f t="shared" si="4"/>
        <v>8.3624950434810982E-3</v>
      </c>
      <c r="O25" s="1"/>
      <c r="Q25" s="10">
        <v>0</v>
      </c>
      <c r="R25" s="9">
        <f>S10</f>
        <v>11.625623553051071</v>
      </c>
      <c r="S25" s="9">
        <f>Q21</f>
        <v>5.3283789993444547E-2</v>
      </c>
      <c r="T25" s="9">
        <f>R25/S25</f>
        <v>218.18312012868003</v>
      </c>
      <c r="U25" s="16">
        <f>_xlfn.T.DIST.2T(T25,40)</f>
        <v>3.7968916087445917E-63</v>
      </c>
    </row>
    <row r="26" spans="1:21" ht="17" thickBot="1" x14ac:dyDescent="0.25">
      <c r="A26">
        <v>183940</v>
      </c>
      <c r="C26">
        <v>26</v>
      </c>
      <c r="E26">
        <f t="shared" si="0"/>
        <v>12.122364896456689</v>
      </c>
      <c r="G26">
        <v>1</v>
      </c>
      <c r="H26">
        <f t="shared" si="1"/>
        <v>3.2580965380214821</v>
      </c>
      <c r="J26" s="1">
        <f t="shared" si="2"/>
        <v>207987.5379959103</v>
      </c>
      <c r="K26" s="1"/>
      <c r="L26" s="1">
        <f t="shared" si="3"/>
        <v>12.24523344340737</v>
      </c>
      <c r="M26" s="1"/>
      <c r="N26" s="1">
        <f t="shared" si="4"/>
        <v>1.5096679829771633E-2</v>
      </c>
      <c r="O26" s="1"/>
      <c r="Q26" s="11">
        <v>1</v>
      </c>
      <c r="R26" s="12">
        <f>S11</f>
        <v>0.1901754239401896</v>
      </c>
      <c r="S26" s="12">
        <f>R22</f>
        <v>1.7810255765206829E-2</v>
      </c>
      <c r="T26" s="12">
        <f>R26/S26</f>
        <v>10.677860354577627</v>
      </c>
      <c r="U26" s="17">
        <f>_xlfn.T.DIST.2T(T26,40)</f>
        <v>2.8169591918569989E-13</v>
      </c>
    </row>
    <row r="27" spans="1:21" x14ac:dyDescent="0.2">
      <c r="A27">
        <v>201433</v>
      </c>
      <c r="C27">
        <v>27</v>
      </c>
      <c r="E27">
        <f t="shared" si="0"/>
        <v>12.213212098872956</v>
      </c>
      <c r="G27">
        <v>1</v>
      </c>
      <c r="H27">
        <f t="shared" si="1"/>
        <v>3.2958368660043291</v>
      </c>
      <c r="J27" s="1">
        <f t="shared" si="2"/>
        <v>209485.69330128643</v>
      </c>
      <c r="K27" s="1"/>
      <c r="L27" s="1">
        <f t="shared" si="3"/>
        <v>12.25241072628115</v>
      </c>
      <c r="M27" s="1"/>
      <c r="N27" s="1">
        <f t="shared" si="4"/>
        <v>1.5365323906863934E-3</v>
      </c>
      <c r="O27" s="1"/>
    </row>
    <row r="28" spans="1:21" x14ac:dyDescent="0.2">
      <c r="A28">
        <v>198942</v>
      </c>
      <c r="C28">
        <v>28</v>
      </c>
      <c r="E28">
        <f t="shared" si="0"/>
        <v>12.200768603938268</v>
      </c>
      <c r="G28">
        <v>1</v>
      </c>
      <c r="H28">
        <f t="shared" si="1"/>
        <v>3.3322045101752038</v>
      </c>
      <c r="J28" s="1">
        <f t="shared" si="2"/>
        <v>210939.56685592109</v>
      </c>
      <c r="K28" s="1"/>
      <c r="L28" s="1">
        <f t="shared" si="3"/>
        <v>12.259326958429051</v>
      </c>
      <c r="M28" s="1"/>
      <c r="N28" s="1">
        <f t="shared" si="4"/>
        <v>3.4290808806682125E-3</v>
      </c>
      <c r="O28" s="1"/>
    </row>
    <row r="29" spans="1:21" x14ac:dyDescent="0.2">
      <c r="A29">
        <v>207415</v>
      </c>
      <c r="C29">
        <v>29</v>
      </c>
      <c r="E29">
        <f t="shared" si="0"/>
        <v>12.24247689617388</v>
      </c>
      <c r="G29">
        <v>1</v>
      </c>
      <c r="H29">
        <f t="shared" si="1"/>
        <v>3.3672958299864741</v>
      </c>
      <c r="J29" s="1">
        <f t="shared" si="2"/>
        <v>212351.98108808452</v>
      </c>
      <c r="K29" s="1"/>
      <c r="L29" s="1">
        <f t="shared" si="3"/>
        <v>12.266000465050782</v>
      </c>
      <c r="M29" s="1"/>
      <c r="N29" s="1">
        <f t="shared" si="4"/>
        <v>5.5335829270635199E-4</v>
      </c>
      <c r="O29" s="1"/>
    </row>
    <row r="30" spans="1:21" x14ac:dyDescent="0.2">
      <c r="A30">
        <v>209214</v>
      </c>
      <c r="C30">
        <v>30</v>
      </c>
      <c r="E30">
        <f t="shared" si="0"/>
        <v>12.251112930539872</v>
      </c>
      <c r="G30">
        <v>1</v>
      </c>
      <c r="H30">
        <f t="shared" si="1"/>
        <v>3.4011973816621555</v>
      </c>
      <c r="J30" s="1">
        <f t="shared" si="2"/>
        <v>213725.48860123486</v>
      </c>
      <c r="K30" s="1"/>
      <c r="L30" s="1">
        <f t="shared" si="3"/>
        <v>12.272447707012935</v>
      </c>
      <c r="M30" s="1"/>
      <c r="N30" s="1">
        <f t="shared" si="4"/>
        <v>4.5517268715556866E-4</v>
      </c>
      <c r="O30" s="1"/>
    </row>
    <row r="31" spans="1:21" x14ac:dyDescent="0.2">
      <c r="A31">
        <v>224204</v>
      </c>
      <c r="C31">
        <v>31</v>
      </c>
      <c r="E31">
        <f t="shared" si="0"/>
        <v>12.320311630674247</v>
      </c>
      <c r="G31">
        <v>1</v>
      </c>
      <c r="H31">
        <f t="shared" si="1"/>
        <v>3.4339872044851463</v>
      </c>
      <c r="J31" s="1">
        <f t="shared" si="2"/>
        <v>215062.40600252117</v>
      </c>
      <c r="K31" s="1"/>
      <c r="L31" s="1">
        <f t="shared" si="3"/>
        <v>12.278683525469219</v>
      </c>
      <c r="M31" s="1"/>
      <c r="N31" s="1">
        <f t="shared" si="4"/>
        <v>1.732899142960881E-3</v>
      </c>
      <c r="O31" s="1"/>
    </row>
    <row r="32" spans="1:21" x14ac:dyDescent="0.2">
      <c r="A32">
        <v>221953</v>
      </c>
      <c r="C32">
        <v>32</v>
      </c>
      <c r="E32">
        <f t="shared" si="0"/>
        <v>12.310220926728617</v>
      </c>
      <c r="G32">
        <v>1</v>
      </c>
      <c r="H32">
        <f t="shared" si="1"/>
        <v>3.4657359027997265</v>
      </c>
      <c r="J32" s="1">
        <f t="shared" si="2"/>
        <v>216364.84254698659</v>
      </c>
      <c r="K32" s="1"/>
      <c r="L32" s="1">
        <f t="shared" si="3"/>
        <v>12.284721347630745</v>
      </c>
      <c r="M32" s="1"/>
      <c r="N32" s="1">
        <f t="shared" si="4"/>
        <v>6.5022853416862121E-4</v>
      </c>
      <c r="O32" s="1"/>
    </row>
    <row r="33" spans="1:15" x14ac:dyDescent="0.2">
      <c r="A33">
        <v>232803</v>
      </c>
      <c r="C33">
        <v>33</v>
      </c>
      <c r="E33">
        <f t="shared" si="0"/>
        <v>12.357947881354326</v>
      </c>
      <c r="G33">
        <v>1</v>
      </c>
      <c r="H33">
        <f t="shared" si="1"/>
        <v>3.4965075614664802</v>
      </c>
      <c r="J33" s="1">
        <f t="shared" si="2"/>
        <v>217634.72452761582</v>
      </c>
      <c r="K33" s="1"/>
      <c r="L33" s="1">
        <f t="shared" si="3"/>
        <v>12.290573360863037</v>
      </c>
      <c r="M33" s="1"/>
      <c r="N33" s="1">
        <f t="shared" si="4"/>
        <v>4.5393260114310321E-3</v>
      </c>
      <c r="O33" s="1"/>
    </row>
    <row r="34" spans="1:15" x14ac:dyDescent="0.2">
      <c r="A34">
        <v>228660</v>
      </c>
      <c r="C34">
        <v>34</v>
      </c>
      <c r="E34">
        <f t="shared" si="0"/>
        <v>12.339991463095961</v>
      </c>
      <c r="G34">
        <v>1</v>
      </c>
      <c r="H34">
        <f t="shared" si="1"/>
        <v>3.5263605246161616</v>
      </c>
      <c r="J34" s="1">
        <f t="shared" si="2"/>
        <v>218873.81615160819</v>
      </c>
      <c r="K34" s="1"/>
      <c r="L34" s="1">
        <f t="shared" si="3"/>
        <v>12.296250660785899</v>
      </c>
      <c r="M34" s="1"/>
      <c r="N34" s="1">
        <f t="shared" si="4"/>
        <v>1.9132577867278912E-3</v>
      </c>
      <c r="O34" s="1"/>
    </row>
    <row r="35" spans="1:15" x14ac:dyDescent="0.2">
      <c r="A35">
        <v>239816</v>
      </c>
      <c r="C35">
        <v>35</v>
      </c>
      <c r="E35">
        <f t="shared" si="0"/>
        <v>12.387627241618276</v>
      </c>
      <c r="G35">
        <v>1</v>
      </c>
      <c r="H35">
        <f t="shared" si="1"/>
        <v>3.5553480614894135</v>
      </c>
      <c r="J35" s="1">
        <f t="shared" si="2"/>
        <v>220083.73749660459</v>
      </c>
      <c r="K35" s="1"/>
      <c r="L35" s="1">
        <f t="shared" si="3"/>
        <v>12.301763377899752</v>
      </c>
      <c r="M35" s="1"/>
      <c r="N35" s="1">
        <f t="shared" si="4"/>
        <v>7.372603092673272E-3</v>
      </c>
      <c r="O35" s="1"/>
    </row>
    <row r="36" spans="1:15" x14ac:dyDescent="0.2">
      <c r="A36">
        <v>233082</v>
      </c>
      <c r="C36">
        <v>36</v>
      </c>
      <c r="E36">
        <f t="shared" si="0"/>
        <v>12.359145601965004</v>
      </c>
      <c r="G36">
        <v>1</v>
      </c>
      <c r="H36">
        <f t="shared" si="1"/>
        <v>3.5835189384561099</v>
      </c>
      <c r="J36" s="1">
        <f t="shared" si="2"/>
        <v>221265.98002632055</v>
      </c>
      <c r="K36" s="1"/>
      <c r="L36" s="1">
        <f t="shared" si="3"/>
        <v>12.30712078636966</v>
      </c>
      <c r="M36" s="1"/>
      <c r="N36" s="1">
        <f t="shared" si="4"/>
        <v>2.706581437729502E-3</v>
      </c>
      <c r="O36" s="1"/>
    </row>
    <row r="37" spans="1:15" x14ac:dyDescent="0.2">
      <c r="A37">
        <v>243243</v>
      </c>
      <c r="C37">
        <v>37</v>
      </c>
      <c r="E37">
        <f t="shared" si="0"/>
        <v>12.40181622265577</v>
      </c>
      <c r="G37">
        <v>1</v>
      </c>
      <c r="H37">
        <f t="shared" si="1"/>
        <v>3.6109179126442243</v>
      </c>
      <c r="J37" s="1">
        <f t="shared" si="2"/>
        <v>222421.92005529371</v>
      </c>
      <c r="K37" s="1"/>
      <c r="L37" s="1">
        <f t="shared" si="3"/>
        <v>12.31233139790141</v>
      </c>
      <c r="M37" s="1"/>
      <c r="N37" s="1">
        <f t="shared" si="4"/>
        <v>8.0075338613184478E-3</v>
      </c>
      <c r="O37" s="1"/>
    </row>
    <row r="38" spans="1:15" x14ac:dyDescent="0.2">
      <c r="A38">
        <v>241862</v>
      </c>
      <c r="C38">
        <v>38</v>
      </c>
      <c r="E38">
        <f t="shared" si="0"/>
        <v>12.396122594551748</v>
      </c>
      <c r="G38">
        <v>1</v>
      </c>
      <c r="H38">
        <f t="shared" si="1"/>
        <v>3.6375861597263857</v>
      </c>
      <c r="J38" s="1">
        <f t="shared" si="2"/>
        <v>223552.83048146186</v>
      </c>
      <c r="K38" s="1"/>
      <c r="L38" s="1">
        <f t="shared" si="3"/>
        <v>12.317403043096002</v>
      </c>
      <c r="M38" s="1"/>
      <c r="N38" s="1">
        <f t="shared" si="4"/>
        <v>6.1967677813939024E-3</v>
      </c>
      <c r="O38" s="1"/>
    </row>
    <row r="39" spans="1:15" x14ac:dyDescent="0.2">
      <c r="A39">
        <v>255757</v>
      </c>
      <c r="C39">
        <v>39</v>
      </c>
      <c r="E39">
        <f t="shared" si="0"/>
        <v>12.451983053918292</v>
      </c>
      <c r="G39">
        <v>1</v>
      </c>
      <c r="H39">
        <f t="shared" si="1"/>
        <v>3.6635616461296463</v>
      </c>
      <c r="J39" s="1">
        <f t="shared" si="2"/>
        <v>224659.89104874094</v>
      </c>
      <c r="K39" s="1"/>
      <c r="L39" s="1">
        <f t="shared" si="3"/>
        <v>12.322342942234796</v>
      </c>
      <c r="M39" s="1"/>
      <c r="N39" s="1">
        <f t="shared" si="4"/>
        <v>1.6806558557309427E-2</v>
      </c>
      <c r="O39" s="1"/>
    </row>
    <row r="40" spans="1:15" x14ac:dyDescent="0.2">
      <c r="A40">
        <v>248625</v>
      </c>
      <c r="C40">
        <v>40</v>
      </c>
      <c r="E40">
        <f t="shared" si="0"/>
        <v>12.423701016156274</v>
      </c>
      <c r="G40">
        <v>1</v>
      </c>
      <c r="H40">
        <f t="shared" si="1"/>
        <v>3.6888794541139363</v>
      </c>
      <c r="J40" s="1">
        <f t="shared" si="2"/>
        <v>225744.19735644074</v>
      </c>
      <c r="K40" s="1"/>
      <c r="L40" s="1">
        <f t="shared" si="3"/>
        <v>12.327157767101443</v>
      </c>
      <c r="M40" s="1"/>
      <c r="N40" s="1">
        <f t="shared" si="4"/>
        <v>9.3205989380630468E-3</v>
      </c>
      <c r="O40" s="1"/>
    </row>
    <row r="41" spans="1:15" x14ac:dyDescent="0.2">
      <c r="A41">
        <v>261094</v>
      </c>
      <c r="C41">
        <v>41</v>
      </c>
      <c r="E41">
        <f t="shared" si="0"/>
        <v>12.472635774721919</v>
      </c>
      <c r="G41">
        <v>1</v>
      </c>
      <c r="H41">
        <f t="shared" si="1"/>
        <v>3.713572066704308</v>
      </c>
      <c r="J41" s="1">
        <f t="shared" si="2"/>
        <v>226806.76879579126</v>
      </c>
      <c r="K41" s="1"/>
      <c r="L41" s="1">
        <f t="shared" si="3"/>
        <v>12.331853695169009</v>
      </c>
      <c r="M41" s="1"/>
      <c r="N41" s="1">
        <f t="shared" si="4"/>
        <v>1.9819593923241816E-2</v>
      </c>
      <c r="O41" s="1"/>
    </row>
    <row r="42" spans="1:15" x14ac:dyDescent="0.2">
      <c r="A42">
        <v>254235</v>
      </c>
      <c r="C42">
        <v>42</v>
      </c>
      <c r="E42">
        <f t="shared" si="0"/>
        <v>12.446014315120264</v>
      </c>
      <c r="G42">
        <v>1</v>
      </c>
      <c r="H42">
        <f t="shared" si="1"/>
        <v>3.7376696182833684</v>
      </c>
      <c r="J42" s="1">
        <f t="shared" si="2"/>
        <v>227848.55556418805</v>
      </c>
      <c r="K42" s="1"/>
      <c r="L42" s="1">
        <f t="shared" si="3"/>
        <v>12.336436457256477</v>
      </c>
      <c r="M42" s="1"/>
      <c r="N42" s="1">
        <f t="shared" si="4"/>
        <v>1.2007306934016292E-2</v>
      </c>
      <c r="O42" s="1"/>
    </row>
    <row r="43" spans="1:15" x14ac:dyDescent="0.2">
      <c r="A43">
        <v>269320</v>
      </c>
      <c r="C43">
        <v>43</v>
      </c>
      <c r="E43">
        <f t="shared" si="0"/>
        <v>12.503655542659217</v>
      </c>
      <c r="G43">
        <v>1</v>
      </c>
      <c r="H43">
        <f t="shared" si="1"/>
        <v>3.7612001156935624</v>
      </c>
      <c r="J43" s="1">
        <f t="shared" si="2"/>
        <v>228870.44488356845</v>
      </c>
      <c r="K43" s="1"/>
      <c r="L43" s="1">
        <f t="shared" si="3"/>
        <v>12.340911379576983</v>
      </c>
      <c r="M43" s="1"/>
      <c r="N43" s="1">
        <f t="shared" si="4"/>
        <v>2.6485662617336755E-2</v>
      </c>
      <c r="O43" s="1"/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8A1FD-E664-7A4F-91CD-FCFE6904F8F1}">
  <dimension ref="A1:I18"/>
  <sheetViews>
    <sheetView workbookViewId="0">
      <selection activeCell="I6" sqref="I6"/>
    </sheetView>
  </sheetViews>
  <sheetFormatPr baseColWidth="10" defaultRowHeight="16" x14ac:dyDescent="0.2"/>
  <sheetData>
    <row r="1" spans="1:9" x14ac:dyDescent="0.2">
      <c r="A1" t="s">
        <v>73</v>
      </c>
    </row>
    <row r="2" spans="1:9" ht="17" thickBot="1" x14ac:dyDescent="0.25"/>
    <row r="3" spans="1:9" x14ac:dyDescent="0.2">
      <c r="A3" s="8" t="s">
        <v>74</v>
      </c>
      <c r="B3" s="8"/>
    </row>
    <row r="4" spans="1:9" x14ac:dyDescent="0.2">
      <c r="A4" s="5" t="s">
        <v>75</v>
      </c>
      <c r="B4" s="5">
        <v>0.86039985285811116</v>
      </c>
    </row>
    <row r="5" spans="1:9" x14ac:dyDescent="0.2">
      <c r="A5" s="5" t="s">
        <v>76</v>
      </c>
      <c r="B5" s="5">
        <v>0.74028790679825929</v>
      </c>
    </row>
    <row r="6" spans="1:9" x14ac:dyDescent="0.2">
      <c r="A6" s="5" t="s">
        <v>77</v>
      </c>
      <c r="B6" s="5">
        <v>0.73379510446821583</v>
      </c>
    </row>
    <row r="7" spans="1:9" x14ac:dyDescent="0.2">
      <c r="A7" s="5" t="s">
        <v>78</v>
      </c>
      <c r="B7" s="5">
        <v>8.7704772419695917E-2</v>
      </c>
    </row>
    <row r="8" spans="1:9" ht="17" thickBot="1" x14ac:dyDescent="0.25">
      <c r="A8" s="6" t="s">
        <v>79</v>
      </c>
      <c r="B8" s="6">
        <v>42</v>
      </c>
    </row>
    <row r="10" spans="1:9" ht="17" thickBot="1" x14ac:dyDescent="0.25">
      <c r="A10" t="s">
        <v>80</v>
      </c>
    </row>
    <row r="11" spans="1:9" x14ac:dyDescent="0.2">
      <c r="A11" s="7"/>
      <c r="B11" s="7" t="s">
        <v>85</v>
      </c>
      <c r="C11" s="7" t="s">
        <v>86</v>
      </c>
      <c r="D11" s="7" t="s">
        <v>87</v>
      </c>
      <c r="E11" s="7" t="s">
        <v>88</v>
      </c>
      <c r="F11" s="7" t="s">
        <v>89</v>
      </c>
    </row>
    <row r="12" spans="1:9" x14ac:dyDescent="0.2">
      <c r="A12" s="5" t="s">
        <v>81</v>
      </c>
      <c r="B12" s="5">
        <v>1</v>
      </c>
      <c r="C12" s="5">
        <v>0.87703096198980934</v>
      </c>
      <c r="D12" s="5">
        <v>0.87703096198980934</v>
      </c>
      <c r="E12" s="5">
        <v>114.01670175184547</v>
      </c>
      <c r="F12" s="5">
        <v>2.8169591918625989E-13</v>
      </c>
    </row>
    <row r="13" spans="1:9" x14ac:dyDescent="0.2">
      <c r="A13" s="5" t="s">
        <v>82</v>
      </c>
      <c r="B13" s="5">
        <v>40</v>
      </c>
      <c r="C13" s="5">
        <v>0.30768508420762619</v>
      </c>
      <c r="D13" s="5">
        <v>7.6921271051906548E-3</v>
      </c>
      <c r="E13" s="5"/>
      <c r="F13" s="5"/>
    </row>
    <row r="14" spans="1:9" ht="17" thickBot="1" x14ac:dyDescent="0.25">
      <c r="A14" s="6" t="s">
        <v>83</v>
      </c>
      <c r="B14" s="6">
        <v>41</v>
      </c>
      <c r="C14" s="6">
        <v>1.1847160461974355</v>
      </c>
      <c r="D14" s="6"/>
      <c r="E14" s="6"/>
      <c r="F14" s="6"/>
    </row>
    <row r="15" spans="1:9" ht="17" thickBot="1" x14ac:dyDescent="0.25"/>
    <row r="16" spans="1:9" x14ac:dyDescent="0.2">
      <c r="A16" s="7"/>
      <c r="B16" s="7" t="s">
        <v>90</v>
      </c>
      <c r="C16" s="7" t="s">
        <v>78</v>
      </c>
      <c r="D16" s="7" t="s">
        <v>91</v>
      </c>
      <c r="E16" s="7" t="s">
        <v>92</v>
      </c>
      <c r="F16" s="7" t="s">
        <v>93</v>
      </c>
      <c r="G16" s="7" t="s">
        <v>94</v>
      </c>
      <c r="H16" s="7" t="s">
        <v>95</v>
      </c>
      <c r="I16" s="7" t="s">
        <v>96</v>
      </c>
    </row>
    <row r="17" spans="1:9" x14ac:dyDescent="0.2">
      <c r="A17" s="5" t="s">
        <v>84</v>
      </c>
      <c r="B17" s="5">
        <v>11.625623553051097</v>
      </c>
      <c r="C17" s="5">
        <v>5.3283789993444602E-2</v>
      </c>
      <c r="D17" s="5">
        <v>218.18312012868032</v>
      </c>
      <c r="E17" s="5">
        <v>3.7968916087443753E-63</v>
      </c>
      <c r="F17" s="5">
        <v>11.5179329963931</v>
      </c>
      <c r="G17" s="5">
        <v>11.733314109709095</v>
      </c>
      <c r="H17" s="5">
        <v>11.5179329963931</v>
      </c>
      <c r="I17" s="5">
        <v>11.733314109709095</v>
      </c>
    </row>
    <row r="18" spans="1:9" ht="17" thickBot="1" x14ac:dyDescent="0.25">
      <c r="A18" s="6" t="s">
        <v>97</v>
      </c>
      <c r="B18" s="6">
        <v>0.19017542394017725</v>
      </c>
      <c r="C18" s="6">
        <v>1.781025576520685E-2</v>
      </c>
      <c r="D18" s="6">
        <v>10.67786035457692</v>
      </c>
      <c r="E18" s="6">
        <v>2.8169591918625686E-13</v>
      </c>
      <c r="F18" s="6">
        <v>0.15417955431805724</v>
      </c>
      <c r="G18" s="6">
        <v>0.22617129356229726</v>
      </c>
      <c r="H18" s="6">
        <v>0.15417955431805724</v>
      </c>
      <c r="I18" s="6">
        <v>0.22617129356229726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AA6F0-149B-C545-9B2A-CAEBC7640915}">
  <dimension ref="A1:BF43"/>
  <sheetViews>
    <sheetView tabSelected="1" topLeftCell="C21" workbookViewId="0">
      <selection activeCell="Q13" sqref="Q13"/>
    </sheetView>
  </sheetViews>
  <sheetFormatPr baseColWidth="10" defaultRowHeight="16" x14ac:dyDescent="0.2"/>
  <cols>
    <col min="14" max="14" width="13.5" customWidth="1"/>
    <col min="17" max="17" width="13.6640625" bestFit="1" customWidth="1"/>
    <col min="19" max="19" width="12.1640625" bestFit="1" customWidth="1"/>
    <col min="21" max="21" width="12.1640625" bestFit="1" customWidth="1"/>
    <col min="22" max="22" width="11.1640625" bestFit="1" customWidth="1"/>
  </cols>
  <sheetData>
    <row r="1" spans="1:58" x14ac:dyDescent="0.2">
      <c r="A1" s="3" t="s">
        <v>107</v>
      </c>
      <c r="B1" s="3"/>
      <c r="C1" s="3" t="s">
        <v>108</v>
      </c>
      <c r="E1" s="3" t="s">
        <v>61</v>
      </c>
      <c r="G1" s="3" t="s">
        <v>60</v>
      </c>
      <c r="J1" s="3" t="s">
        <v>67</v>
      </c>
      <c r="K1" s="3"/>
      <c r="L1" s="3" t="s">
        <v>109</v>
      </c>
      <c r="N1" s="3" t="s">
        <v>110</v>
      </c>
      <c r="Q1" s="3" t="s">
        <v>62</v>
      </c>
    </row>
    <row r="2" spans="1:58" x14ac:dyDescent="0.2">
      <c r="A2">
        <v>150816</v>
      </c>
      <c r="C2">
        <v>2</v>
      </c>
      <c r="E2">
        <f>LN(A2)</f>
        <v>11.923815829723457</v>
      </c>
      <c r="G2">
        <v>1</v>
      </c>
      <c r="H2">
        <f>C2</f>
        <v>2</v>
      </c>
      <c r="J2" s="1">
        <f>EXP($S$10+$S$11*C2)</f>
        <v>147347.01781524598</v>
      </c>
      <c r="K2" s="1"/>
      <c r="L2" s="1">
        <f>LN(J2)</f>
        <v>11.900545749177498</v>
      </c>
      <c r="M2" s="1"/>
      <c r="N2" s="1">
        <f>(L2-E2)^2</f>
        <v>5.4149664861543624E-4</v>
      </c>
      <c r="O2" s="1"/>
      <c r="Q2" cm="1">
        <f t="array" ref="Q2:BF3">TRANSPOSE(G2:H43)</f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  <c r="AG2">
        <v>1</v>
      </c>
      <c r="AH2">
        <v>1</v>
      </c>
      <c r="AI2">
        <v>1</v>
      </c>
      <c r="AJ2">
        <v>1</v>
      </c>
      <c r="AK2">
        <v>1</v>
      </c>
      <c r="AL2">
        <v>1</v>
      </c>
      <c r="AM2">
        <v>1</v>
      </c>
      <c r="AN2">
        <v>1</v>
      </c>
      <c r="AO2">
        <v>1</v>
      </c>
      <c r="AP2">
        <v>1</v>
      </c>
      <c r="AQ2">
        <v>1</v>
      </c>
      <c r="AR2">
        <v>1</v>
      </c>
      <c r="AS2">
        <v>1</v>
      </c>
      <c r="AT2">
        <v>1</v>
      </c>
      <c r="AU2">
        <v>1</v>
      </c>
      <c r="AV2">
        <v>1</v>
      </c>
      <c r="AW2">
        <v>1</v>
      </c>
      <c r="AX2">
        <v>1</v>
      </c>
      <c r="AY2">
        <v>1</v>
      </c>
      <c r="AZ2">
        <v>1</v>
      </c>
      <c r="BA2">
        <v>1</v>
      </c>
      <c r="BB2">
        <v>1</v>
      </c>
      <c r="BC2">
        <v>1</v>
      </c>
      <c r="BD2">
        <v>1</v>
      </c>
      <c r="BE2">
        <v>1</v>
      </c>
      <c r="BF2">
        <v>1</v>
      </c>
    </row>
    <row r="3" spans="1:58" x14ac:dyDescent="0.2">
      <c r="A3">
        <v>159663</v>
      </c>
      <c r="C3">
        <v>3</v>
      </c>
      <c r="E3">
        <f t="shared" ref="E3:E43" si="0">LN(A3)</f>
        <v>11.98082062295186</v>
      </c>
      <c r="G3">
        <v>1</v>
      </c>
      <c r="H3">
        <f t="shared" ref="H3:H43" si="1">C3</f>
        <v>3</v>
      </c>
      <c r="J3" s="1">
        <f t="shared" ref="J3:J43" si="2">EXP($S$10+$S$11*C3)</f>
        <v>149339.69450248976</v>
      </c>
      <c r="K3" s="1"/>
      <c r="L3" s="1">
        <f t="shared" ref="L3:L43" si="3">LN(J3)</f>
        <v>11.913978818936668</v>
      </c>
      <c r="M3" s="1"/>
      <c r="N3" s="1">
        <f t="shared" ref="N3:N43" si="4">(L3-E3)^2</f>
        <v>4.4678267640053844E-3</v>
      </c>
      <c r="O3" s="1"/>
      <c r="Q3">
        <v>2</v>
      </c>
      <c r="R3">
        <v>3</v>
      </c>
      <c r="S3">
        <v>4</v>
      </c>
      <c r="T3">
        <v>5</v>
      </c>
      <c r="U3">
        <v>6</v>
      </c>
      <c r="V3">
        <v>7</v>
      </c>
      <c r="W3">
        <v>8</v>
      </c>
      <c r="X3">
        <v>9</v>
      </c>
      <c r="Y3">
        <v>10</v>
      </c>
      <c r="Z3">
        <v>11</v>
      </c>
      <c r="AA3">
        <v>12</v>
      </c>
      <c r="AB3">
        <v>13</v>
      </c>
      <c r="AC3">
        <v>14</v>
      </c>
      <c r="AD3">
        <v>15</v>
      </c>
      <c r="AE3">
        <v>16</v>
      </c>
      <c r="AF3">
        <v>17</v>
      </c>
      <c r="AG3">
        <v>18</v>
      </c>
      <c r="AH3">
        <v>19</v>
      </c>
      <c r="AI3">
        <v>20</v>
      </c>
      <c r="AJ3">
        <v>21</v>
      </c>
      <c r="AK3">
        <v>22</v>
      </c>
      <c r="AL3">
        <v>23</v>
      </c>
      <c r="AM3">
        <v>24</v>
      </c>
      <c r="AN3">
        <v>25</v>
      </c>
      <c r="AO3">
        <v>26</v>
      </c>
      <c r="AP3">
        <v>27</v>
      </c>
      <c r="AQ3">
        <v>28</v>
      </c>
      <c r="AR3">
        <v>29</v>
      </c>
      <c r="AS3">
        <v>30</v>
      </c>
      <c r="AT3">
        <v>31</v>
      </c>
      <c r="AU3">
        <v>32</v>
      </c>
      <c r="AV3">
        <v>33</v>
      </c>
      <c r="AW3">
        <v>34</v>
      </c>
      <c r="AX3">
        <v>35</v>
      </c>
      <c r="AY3">
        <v>36</v>
      </c>
      <c r="AZ3">
        <v>37</v>
      </c>
      <c r="BA3">
        <v>38</v>
      </c>
      <c r="BB3">
        <v>39</v>
      </c>
      <c r="BC3">
        <v>40</v>
      </c>
      <c r="BD3">
        <v>41</v>
      </c>
      <c r="BE3">
        <v>42</v>
      </c>
      <c r="BF3">
        <v>43</v>
      </c>
    </row>
    <row r="4" spans="1:58" x14ac:dyDescent="0.2">
      <c r="A4">
        <v>155573</v>
      </c>
      <c r="C4">
        <v>4</v>
      </c>
      <c r="E4">
        <f t="shared" si="0"/>
        <v>11.954870353818871</v>
      </c>
      <c r="G4">
        <v>1</v>
      </c>
      <c r="H4">
        <f t="shared" si="1"/>
        <v>4</v>
      </c>
      <c r="J4" s="1">
        <f t="shared" si="2"/>
        <v>151359.31954904748</v>
      </c>
      <c r="K4" s="1"/>
      <c r="L4" s="1">
        <f t="shared" si="3"/>
        <v>11.92741188869584</v>
      </c>
      <c r="M4" s="1"/>
      <c r="N4" s="1">
        <f t="shared" si="4"/>
        <v>7.5396730691270773E-4</v>
      </c>
      <c r="O4" s="1"/>
    </row>
    <row r="5" spans="1:58" x14ac:dyDescent="0.2">
      <c r="A5">
        <v>161574</v>
      </c>
      <c r="C5">
        <v>5</v>
      </c>
      <c r="E5">
        <f t="shared" si="0"/>
        <v>11.992718521035663</v>
      </c>
      <c r="G5">
        <v>1</v>
      </c>
      <c r="H5">
        <f t="shared" si="1"/>
        <v>5</v>
      </c>
      <c r="J5" s="1">
        <f t="shared" si="2"/>
        <v>153406.25739641301</v>
      </c>
      <c r="K5" s="1"/>
      <c r="L5" s="1">
        <f t="shared" si="3"/>
        <v>11.94084495845501</v>
      </c>
      <c r="M5" s="1"/>
      <c r="N5" s="1">
        <f t="shared" si="4"/>
        <v>2.690866494808901E-3</v>
      </c>
      <c r="O5" s="1"/>
      <c r="Q5" s="3" t="s">
        <v>63</v>
      </c>
      <c r="T5" s="3" t="s">
        <v>64</v>
      </c>
    </row>
    <row r="6" spans="1:58" x14ac:dyDescent="0.2">
      <c r="A6">
        <v>154922</v>
      </c>
      <c r="C6">
        <v>6</v>
      </c>
      <c r="E6">
        <f t="shared" si="0"/>
        <v>11.950677043434332</v>
      </c>
      <c r="G6">
        <v>1</v>
      </c>
      <c r="H6">
        <f t="shared" si="1"/>
        <v>6</v>
      </c>
      <c r="J6" s="1">
        <f t="shared" si="2"/>
        <v>155480.87741467793</v>
      </c>
      <c r="K6" s="1"/>
      <c r="L6" s="1">
        <f t="shared" si="3"/>
        <v>11.95427802821418</v>
      </c>
      <c r="M6" s="1"/>
      <c r="N6" s="1">
        <f t="shared" si="4"/>
        <v>1.2967091384693302E-5</v>
      </c>
      <c r="O6" s="1"/>
      <c r="Q6" cm="1">
        <f t="array" ref="Q6:R7">MMULT(_xlfn.ANCHORARRAY(Q2),G2:H43)</f>
        <v>42</v>
      </c>
      <c r="R6">
        <v>945</v>
      </c>
      <c r="T6" cm="1">
        <f t="array" ref="T6:U7">MINVERSE(_xlfn.ANCHORARRAY(Q6))</f>
        <v>0.10585311833184774</v>
      </c>
      <c r="U6">
        <v>-3.6463819787699524E-3</v>
      </c>
    </row>
    <row r="7" spans="1:58" x14ac:dyDescent="0.2">
      <c r="A7">
        <v>164049</v>
      </c>
      <c r="C7">
        <v>7</v>
      </c>
      <c r="E7">
        <f t="shared" si="0"/>
        <v>12.007920442668139</v>
      </c>
      <c r="G7">
        <v>1</v>
      </c>
      <c r="H7">
        <f t="shared" si="1"/>
        <v>7</v>
      </c>
      <c r="J7" s="1">
        <f t="shared" si="2"/>
        <v>157583.55396918382</v>
      </c>
      <c r="K7" s="1"/>
      <c r="L7" s="1">
        <f t="shared" si="3"/>
        <v>11.967711097973352</v>
      </c>
      <c r="M7" s="1"/>
      <c r="N7" s="1">
        <f t="shared" si="4"/>
        <v>1.6167914007842211E-3</v>
      </c>
      <c r="O7" s="1"/>
      <c r="Q7">
        <v>945</v>
      </c>
      <c r="R7">
        <v>27433</v>
      </c>
      <c r="T7">
        <v>-3.6463819787699529E-3</v>
      </c>
      <c r="U7">
        <v>1.6206142127866456E-4</v>
      </c>
    </row>
    <row r="8" spans="1:58" x14ac:dyDescent="0.2">
      <c r="A8">
        <v>159126</v>
      </c>
      <c r="C8">
        <v>8</v>
      </c>
      <c r="E8">
        <f t="shared" si="0"/>
        <v>11.977451620207596</v>
      </c>
      <c r="G8">
        <v>1</v>
      </c>
      <c r="H8">
        <f t="shared" si="1"/>
        <v>8</v>
      </c>
      <c r="J8" s="1">
        <f t="shared" si="2"/>
        <v>159714.6664880754</v>
      </c>
      <c r="K8" s="1"/>
      <c r="L8" s="1">
        <f t="shared" si="3"/>
        <v>11.981144167732522</v>
      </c>
      <c r="M8" s="1"/>
      <c r="N8" s="1">
        <f t="shared" si="4"/>
        <v>1.3634907223836176E-5</v>
      </c>
      <c r="O8" s="1"/>
    </row>
    <row r="9" spans="1:58" x14ac:dyDescent="0.2">
      <c r="A9">
        <v>166215</v>
      </c>
      <c r="C9">
        <v>9</v>
      </c>
      <c r="E9">
        <f t="shared" si="0"/>
        <v>12.021037410038536</v>
      </c>
      <c r="G9">
        <v>1</v>
      </c>
      <c r="H9">
        <f t="shared" si="1"/>
        <v>9</v>
      </c>
      <c r="J9" s="1">
        <f t="shared" si="2"/>
        <v>161874.5995307703</v>
      </c>
      <c r="K9" s="1"/>
      <c r="L9" s="1">
        <f t="shared" si="3"/>
        <v>11.994577237491692</v>
      </c>
      <c r="M9" s="1"/>
      <c r="N9" s="1">
        <f t="shared" si="4"/>
        <v>7.0014073120878431E-4</v>
      </c>
      <c r="O9" s="1"/>
      <c r="Q9" s="3" t="s">
        <v>65</v>
      </c>
      <c r="S9" s="3" t="s">
        <v>66</v>
      </c>
    </row>
    <row r="10" spans="1:58" x14ac:dyDescent="0.2">
      <c r="A10">
        <v>161419</v>
      </c>
      <c r="C10">
        <v>10</v>
      </c>
      <c r="E10">
        <f t="shared" si="0"/>
        <v>11.99175874783997</v>
      </c>
      <c r="G10">
        <v>1</v>
      </c>
      <c r="H10">
        <f t="shared" si="1"/>
        <v>10</v>
      </c>
      <c r="J10" s="1">
        <f t="shared" si="2"/>
        <v>164063.74285735178</v>
      </c>
      <c r="K10" s="1"/>
      <c r="L10" s="1">
        <f t="shared" si="3"/>
        <v>12.008010307250863</v>
      </c>
      <c r="M10" s="1"/>
      <c r="N10" s="1">
        <f t="shared" si="4"/>
        <v>2.6411318328579069E-4</v>
      </c>
      <c r="O10" s="1"/>
      <c r="Q10" cm="1">
        <f t="array" ref="Q10:Q11">MMULT(_xlfn.ANCHORARRAY(Q2),E2:E43)</f>
        <v>511.38879452810079</v>
      </c>
      <c r="S10" cm="1">
        <f t="array" ref="S10:S11">MMULT(_xlfn.ANCHORARRAY(T6),_xlfn.ANCHORARRAY(Q10))</f>
        <v>11.873679609659156</v>
      </c>
      <c r="U10" t="s">
        <v>103</v>
      </c>
    </row>
    <row r="11" spans="1:58" x14ac:dyDescent="0.2">
      <c r="A11">
        <v>171164</v>
      </c>
      <c r="C11">
        <v>11</v>
      </c>
      <c r="E11">
        <f t="shared" si="0"/>
        <v>12.050377440203929</v>
      </c>
      <c r="G11">
        <v>1</v>
      </c>
      <c r="H11">
        <f t="shared" si="1"/>
        <v>11</v>
      </c>
      <c r="J11" s="1">
        <f t="shared" si="2"/>
        <v>166282.49149890032</v>
      </c>
      <c r="K11" s="1"/>
      <c r="L11" s="1">
        <f t="shared" si="3"/>
        <v>12.021443377010034</v>
      </c>
      <c r="M11" s="1"/>
      <c r="N11" s="1">
        <f t="shared" si="4"/>
        <v>8.3718001290836196E-4</v>
      </c>
      <c r="O11" s="1"/>
      <c r="Q11">
        <v>11589.136633831231</v>
      </c>
      <c r="S11">
        <v>1.343306975917069E-2</v>
      </c>
      <c r="U11" t="s">
        <v>104</v>
      </c>
    </row>
    <row r="12" spans="1:58" x14ac:dyDescent="0.2">
      <c r="A12">
        <v>166103</v>
      </c>
      <c r="C12">
        <v>12</v>
      </c>
      <c r="E12">
        <f t="shared" si="0"/>
        <v>12.020363356847071</v>
      </c>
      <c r="G12">
        <v>1</v>
      </c>
      <c r="H12">
        <f t="shared" si="1"/>
        <v>12</v>
      </c>
      <c r="J12" s="1">
        <f t="shared" si="2"/>
        <v>168531.24582877848</v>
      </c>
      <c r="K12" s="1"/>
      <c r="L12" s="1">
        <f t="shared" si="3"/>
        <v>12.034876446769204</v>
      </c>
      <c r="M12" s="1"/>
      <c r="N12" s="1">
        <f t="shared" si="4"/>
        <v>2.1062977908791407E-4</v>
      </c>
      <c r="O12" s="1"/>
    </row>
    <row r="13" spans="1:58" x14ac:dyDescent="0.2">
      <c r="A13">
        <v>173248</v>
      </c>
      <c r="C13">
        <v>13</v>
      </c>
      <c r="E13">
        <f t="shared" si="0"/>
        <v>12.062479372973973</v>
      </c>
      <c r="G13">
        <v>1</v>
      </c>
      <c r="H13">
        <f t="shared" si="1"/>
        <v>13</v>
      </c>
      <c r="J13" s="1">
        <f t="shared" si="2"/>
        <v>170810.4116348777</v>
      </c>
      <c r="K13" s="1"/>
      <c r="L13" s="1">
        <f t="shared" si="3"/>
        <v>12.048309516528375</v>
      </c>
      <c r="M13" s="1"/>
      <c r="N13" s="1">
        <f t="shared" si="4"/>
        <v>2.0078483168885157E-4</v>
      </c>
      <c r="O13" s="1"/>
      <c r="Q13" s="3" t="s">
        <v>99</v>
      </c>
      <c r="S13" s="3" t="s">
        <v>100</v>
      </c>
      <c r="V13" s="3"/>
    </row>
    <row r="14" spans="1:58" x14ac:dyDescent="0.2">
      <c r="A14">
        <v>170056</v>
      </c>
      <c r="C14">
        <v>14</v>
      </c>
      <c r="E14">
        <f t="shared" si="0"/>
        <v>12.043883073552962</v>
      </c>
      <c r="G14">
        <v>1</v>
      </c>
      <c r="H14">
        <f t="shared" si="1"/>
        <v>14</v>
      </c>
      <c r="J14" s="1">
        <f t="shared" si="2"/>
        <v>173120.40019284168</v>
      </c>
      <c r="K14" s="1"/>
      <c r="L14" s="1">
        <f t="shared" si="3"/>
        <v>12.061742586287545</v>
      </c>
      <c r="M14" s="1"/>
      <c r="N14" s="1">
        <f t="shared" si="4"/>
        <v>3.1896219511674324E-4</v>
      </c>
      <c r="O14" s="1"/>
      <c r="Q14" s="1">
        <f>SUM(N2:N43)</f>
        <v>7.1265591851053245E-2</v>
      </c>
      <c r="S14">
        <f>Q14/(COUNT(J2:J43)-2)</f>
        <v>1.7816397962763311E-3</v>
      </c>
    </row>
    <row r="15" spans="1:58" x14ac:dyDescent="0.2">
      <c r="A15">
        <v>179008</v>
      </c>
      <c r="C15">
        <v>15</v>
      </c>
      <c r="E15">
        <f t="shared" si="0"/>
        <v>12.095185776561632</v>
      </c>
      <c r="G15">
        <v>1</v>
      </c>
      <c r="H15">
        <f t="shared" si="1"/>
        <v>15</v>
      </c>
      <c r="J15" s="1">
        <f t="shared" si="2"/>
        <v>175461.62834028329</v>
      </c>
      <c r="K15" s="1"/>
      <c r="L15" s="1">
        <f t="shared" si="3"/>
        <v>12.075175656046717</v>
      </c>
      <c r="M15" s="1"/>
      <c r="N15" s="1">
        <f t="shared" si="4"/>
        <v>4.0040492302140517E-4</v>
      </c>
      <c r="O15" s="1"/>
    </row>
    <row r="16" spans="1:58" x14ac:dyDescent="0.2">
      <c r="A16">
        <v>173652</v>
      </c>
      <c r="C16">
        <v>16</v>
      </c>
      <c r="E16">
        <f t="shared" si="0"/>
        <v>12.064808575525992</v>
      </c>
      <c r="G16">
        <v>1</v>
      </c>
      <c r="H16">
        <f t="shared" si="1"/>
        <v>16</v>
      </c>
      <c r="J16" s="1">
        <f t="shared" si="2"/>
        <v>177834.51855200046</v>
      </c>
      <c r="K16" s="1"/>
      <c r="L16" s="1">
        <f t="shared" si="3"/>
        <v>12.088608725805887</v>
      </c>
      <c r="M16" s="1"/>
      <c r="N16" s="1">
        <f t="shared" si="4"/>
        <v>5.6644715334557623E-4</v>
      </c>
      <c r="O16" s="1"/>
      <c r="Q16" s="3" t="s">
        <v>101</v>
      </c>
    </row>
    <row r="17" spans="1:21" x14ac:dyDescent="0.2">
      <c r="A17">
        <v>180841</v>
      </c>
      <c r="C17">
        <v>17</v>
      </c>
      <c r="E17">
        <f t="shared" si="0"/>
        <v>12.105373471143308</v>
      </c>
      <c r="G17">
        <v>1</v>
      </c>
      <c r="H17">
        <f t="shared" si="1"/>
        <v>17</v>
      </c>
      <c r="J17" s="1">
        <f t="shared" si="2"/>
        <v>180239.49901621402</v>
      </c>
      <c r="K17" s="1"/>
      <c r="L17" s="1">
        <f t="shared" si="3"/>
        <v>12.102041795565057</v>
      </c>
      <c r="M17" s="1"/>
      <c r="N17" s="1">
        <f t="shared" si="4"/>
        <v>1.110006215871031E-5</v>
      </c>
      <c r="O17" s="1"/>
      <c r="Q17" s="3">
        <f>$S$14*T6</f>
        <v>1.8859212817996758E-4</v>
      </c>
      <c r="R17" s="3">
        <f>$S$14*U6</f>
        <v>-6.4965392458013833E-6</v>
      </c>
      <c r="S17" s="3"/>
      <c r="T17" s="3"/>
      <c r="U17" s="3"/>
    </row>
    <row r="18" spans="1:21" x14ac:dyDescent="0.2">
      <c r="A18">
        <v>178780</v>
      </c>
      <c r="C18">
        <v>18</v>
      </c>
      <c r="E18">
        <f t="shared" si="0"/>
        <v>12.093911278641844</v>
      </c>
      <c r="G18">
        <v>1</v>
      </c>
      <c r="H18">
        <f t="shared" si="1"/>
        <v>18</v>
      </c>
      <c r="J18" s="1">
        <f t="shared" si="2"/>
        <v>182677.00371183324</v>
      </c>
      <c r="K18" s="1"/>
      <c r="L18" s="1">
        <f t="shared" si="3"/>
        <v>12.115474865324229</v>
      </c>
      <c r="M18" s="1"/>
      <c r="N18" s="1">
        <f t="shared" si="4"/>
        <v>4.6498827060872716E-4</v>
      </c>
      <c r="O18" s="1"/>
      <c r="Q18" s="3">
        <f>$S$14*T7</f>
        <v>-6.4965392458013842E-6</v>
      </c>
      <c r="R18" s="3">
        <f>$S$14*U7</f>
        <v>2.8873507759117258E-7</v>
      </c>
    </row>
    <row r="19" spans="1:21" x14ac:dyDescent="0.2">
      <c r="A19">
        <v>188735</v>
      </c>
      <c r="C19">
        <v>19</v>
      </c>
      <c r="E19">
        <f t="shared" si="0"/>
        <v>12.148099193754673</v>
      </c>
      <c r="G19">
        <v>1</v>
      </c>
      <c r="H19">
        <f t="shared" si="1"/>
        <v>19</v>
      </c>
      <c r="J19" s="1">
        <f t="shared" si="2"/>
        <v>185147.47248676661</v>
      </c>
      <c r="K19" s="1"/>
      <c r="L19" s="1">
        <f t="shared" si="3"/>
        <v>12.128907935083399</v>
      </c>
      <c r="M19" s="1"/>
      <c r="N19" s="1">
        <f t="shared" si="4"/>
        <v>3.6830440938774621E-4</v>
      </c>
      <c r="O19" s="1"/>
    </row>
    <row r="20" spans="1:21" x14ac:dyDescent="0.2">
      <c r="A20">
        <v>182497</v>
      </c>
      <c r="C20">
        <v>20</v>
      </c>
      <c r="E20">
        <f t="shared" si="0"/>
        <v>12.114489013513408</v>
      </c>
      <c r="G20">
        <v>1</v>
      </c>
      <c r="H20">
        <f t="shared" si="1"/>
        <v>20</v>
      </c>
      <c r="J20" s="1">
        <f t="shared" si="2"/>
        <v>187651.35113729443</v>
      </c>
      <c r="K20" s="1"/>
      <c r="L20" s="1">
        <f t="shared" si="3"/>
        <v>12.142341004842571</v>
      </c>
      <c r="M20" s="1"/>
      <c r="N20" s="1">
        <f t="shared" si="4"/>
        <v>7.7573342099976133E-4</v>
      </c>
      <c r="O20" s="1"/>
      <c r="Q20" s="3" t="s">
        <v>102</v>
      </c>
    </row>
    <row r="21" spans="1:21" x14ac:dyDescent="0.2">
      <c r="A21">
        <v>189496</v>
      </c>
      <c r="C21">
        <v>21</v>
      </c>
      <c r="E21">
        <f t="shared" si="0"/>
        <v>12.152123195102417</v>
      </c>
      <c r="G21">
        <v>1</v>
      </c>
      <c r="H21">
        <f t="shared" si="1"/>
        <v>21</v>
      </c>
      <c r="J21" s="1">
        <f t="shared" si="2"/>
        <v>190189.09148851037</v>
      </c>
      <c r="K21" s="1"/>
      <c r="L21" s="1">
        <f t="shared" si="3"/>
        <v>12.155774074601741</v>
      </c>
      <c r="M21" s="1"/>
      <c r="N21" s="1">
        <f t="shared" si="4"/>
        <v>1.3328921118580777E-5</v>
      </c>
      <c r="O21" s="1"/>
      <c r="Q21">
        <f>SQRT(Q17)</f>
        <v>1.373288491832534E-2</v>
      </c>
      <c r="R21" t="e">
        <f>SQRT(R17)</f>
        <v>#NUM!</v>
      </c>
      <c r="T21" t="s">
        <v>105</v>
      </c>
    </row>
    <row r="22" spans="1:21" x14ac:dyDescent="0.2">
      <c r="A22">
        <v>182537</v>
      </c>
      <c r="C22">
        <v>22</v>
      </c>
      <c r="E22">
        <f t="shared" si="0"/>
        <v>12.114708171181789</v>
      </c>
      <c r="G22">
        <v>1</v>
      </c>
      <c r="H22">
        <f t="shared" si="1"/>
        <v>22</v>
      </c>
      <c r="J22" s="1">
        <f t="shared" si="2"/>
        <v>192761.1514758555</v>
      </c>
      <c r="K22" s="1"/>
      <c r="L22" s="1">
        <f t="shared" si="3"/>
        <v>12.169207144360911</v>
      </c>
      <c r="M22" s="1"/>
      <c r="N22" s="1">
        <f t="shared" si="4"/>
        <v>2.9701380775786473E-3</v>
      </c>
      <c r="O22" s="1"/>
      <c r="Q22" t="e">
        <f>SQRT(Q18)</f>
        <v>#NUM!</v>
      </c>
      <c r="R22">
        <f>SQRT(R18)</f>
        <v>5.3734074625992449E-4</v>
      </c>
      <c r="T22" t="s">
        <v>106</v>
      </c>
    </row>
    <row r="23" spans="1:21" ht="17" thickBot="1" x14ac:dyDescent="0.25">
      <c r="A23">
        <v>175396</v>
      </c>
      <c r="C23">
        <v>23</v>
      </c>
      <c r="E23">
        <f t="shared" si="0"/>
        <v>12.074801553643077</v>
      </c>
      <c r="G23">
        <v>1</v>
      </c>
      <c r="H23">
        <f t="shared" si="1"/>
        <v>23</v>
      </c>
      <c r="J23" s="1">
        <f t="shared" si="2"/>
        <v>195367.99522775199</v>
      </c>
      <c r="K23" s="1"/>
      <c r="L23" s="1">
        <f t="shared" si="3"/>
        <v>12.182640214120083</v>
      </c>
      <c r="M23" s="1"/>
      <c r="N23" s="1">
        <f t="shared" si="4"/>
        <v>1.1629176693474897E-2</v>
      </c>
      <c r="O23" s="1"/>
    </row>
    <row r="24" spans="1:21" x14ac:dyDescent="0.2">
      <c r="A24">
        <v>179815</v>
      </c>
      <c r="C24">
        <v>24</v>
      </c>
      <c r="E24">
        <f t="shared" si="0"/>
        <v>12.099683823568821</v>
      </c>
      <c r="G24">
        <v>1</v>
      </c>
      <c r="H24">
        <f t="shared" si="1"/>
        <v>24</v>
      </c>
      <c r="J24" s="1">
        <f t="shared" si="2"/>
        <v>198010.09314935387</v>
      </c>
      <c r="K24" s="1"/>
      <c r="L24" s="1">
        <f t="shared" si="3"/>
        <v>12.196073283879253</v>
      </c>
      <c r="M24" s="1"/>
      <c r="N24" s="1">
        <f t="shared" si="4"/>
        <v>9.2909280589363128E-3</v>
      </c>
      <c r="O24" s="1"/>
      <c r="Q24" s="13" t="s">
        <v>68</v>
      </c>
      <c r="R24" s="14" t="s">
        <v>69</v>
      </c>
      <c r="S24" s="14" t="s">
        <v>70</v>
      </c>
      <c r="T24" s="14" t="s">
        <v>71</v>
      </c>
      <c r="U24" s="15" t="s">
        <v>72</v>
      </c>
    </row>
    <row r="25" spans="1:21" x14ac:dyDescent="0.2">
      <c r="A25">
        <v>188401</v>
      </c>
      <c r="C25">
        <v>25</v>
      </c>
      <c r="E25">
        <f t="shared" si="0"/>
        <v>12.14632794896594</v>
      </c>
      <c r="G25">
        <v>1</v>
      </c>
      <c r="H25">
        <f t="shared" si="1"/>
        <v>25</v>
      </c>
      <c r="J25" s="1">
        <f t="shared" si="2"/>
        <v>200687.92200743381</v>
      </c>
      <c r="K25" s="1"/>
      <c r="L25" s="1">
        <f t="shared" si="3"/>
        <v>12.209506353638423</v>
      </c>
      <c r="M25" s="1"/>
      <c r="N25" s="1">
        <f t="shared" si="4"/>
        <v>3.9915108169599981E-3</v>
      </c>
      <c r="O25" s="1"/>
      <c r="Q25" s="10">
        <v>0</v>
      </c>
      <c r="R25" s="9">
        <f>S10</f>
        <v>11.873679609659156</v>
      </c>
      <c r="S25" s="9">
        <f>Q21</f>
        <v>1.373288491832534E-2</v>
      </c>
      <c r="T25" s="9">
        <f>R25/S25</f>
        <v>864.61655218669773</v>
      </c>
      <c r="U25" s="16">
        <f>_xlfn.T.DIST.2T(T25,40)</f>
        <v>4.6344728049609911E-87</v>
      </c>
    </row>
    <row r="26" spans="1:21" ht="17" thickBot="1" x14ac:dyDescent="0.25">
      <c r="A26">
        <v>183940</v>
      </c>
      <c r="C26">
        <v>26</v>
      </c>
      <c r="E26">
        <f t="shared" si="0"/>
        <v>12.122364896456689</v>
      </c>
      <c r="G26">
        <v>1</v>
      </c>
      <c r="H26">
        <f t="shared" si="1"/>
        <v>26</v>
      </c>
      <c r="J26" s="1">
        <f t="shared" si="2"/>
        <v>203401.96501641479</v>
      </c>
      <c r="K26" s="1"/>
      <c r="L26" s="1">
        <f t="shared" si="3"/>
        <v>12.222939423397595</v>
      </c>
      <c r="M26" s="1"/>
      <c r="N26" s="1">
        <f t="shared" si="4"/>
        <v>1.011523546938684E-2</v>
      </c>
      <c r="O26" s="1"/>
      <c r="Q26" s="11">
        <v>1</v>
      </c>
      <c r="R26" s="12">
        <f>S11</f>
        <v>1.343306975917069E-2</v>
      </c>
      <c r="S26" s="12">
        <f>R22</f>
        <v>5.3734074625992449E-4</v>
      </c>
      <c r="T26" s="12">
        <f>R26/S26</f>
        <v>24.999164594662613</v>
      </c>
      <c r="U26" s="17">
        <f>_xlfn.T.DIST.2T(T26,40)</f>
        <v>4.9695921345705885E-26</v>
      </c>
    </row>
    <row r="27" spans="1:21" x14ac:dyDescent="0.2">
      <c r="A27">
        <v>201433</v>
      </c>
      <c r="C27">
        <v>27</v>
      </c>
      <c r="E27">
        <f t="shared" si="0"/>
        <v>12.213212098872956</v>
      </c>
      <c r="G27">
        <v>1</v>
      </c>
      <c r="H27">
        <f t="shared" si="1"/>
        <v>27</v>
      </c>
      <c r="J27" s="1">
        <f t="shared" si="2"/>
        <v>206152.71192556494</v>
      </c>
      <c r="K27" s="1"/>
      <c r="L27" s="1">
        <f t="shared" si="3"/>
        <v>12.236372493156765</v>
      </c>
      <c r="M27" s="1"/>
      <c r="N27" s="1">
        <f t="shared" si="4"/>
        <v>5.3640386338145169E-4</v>
      </c>
      <c r="O27" s="1"/>
    </row>
    <row r="28" spans="1:21" x14ac:dyDescent="0.2">
      <c r="A28">
        <v>198942</v>
      </c>
      <c r="C28">
        <v>28</v>
      </c>
      <c r="E28">
        <f t="shared" si="0"/>
        <v>12.200768603938268</v>
      </c>
      <c r="G28">
        <v>1</v>
      </c>
      <c r="H28">
        <f t="shared" si="1"/>
        <v>28</v>
      </c>
      <c r="J28" s="1">
        <f t="shared" si="2"/>
        <v>208940.65910737516</v>
      </c>
      <c r="K28" s="1"/>
      <c r="L28" s="1">
        <f t="shared" si="3"/>
        <v>12.249805562915935</v>
      </c>
      <c r="M28" s="1"/>
      <c r="N28" s="1">
        <f t="shared" si="4"/>
        <v>2.404623345777322E-3</v>
      </c>
      <c r="O28" s="1"/>
    </row>
    <row r="29" spans="1:21" x14ac:dyDescent="0.2">
      <c r="A29">
        <v>207415</v>
      </c>
      <c r="C29">
        <v>29</v>
      </c>
      <c r="E29">
        <f t="shared" si="0"/>
        <v>12.24247689617388</v>
      </c>
      <c r="G29">
        <v>1</v>
      </c>
      <c r="H29">
        <f t="shared" si="1"/>
        <v>29</v>
      </c>
      <c r="J29" s="1">
        <f t="shared" si="2"/>
        <v>211766.30964712834</v>
      </c>
      <c r="K29" s="1"/>
      <c r="L29" s="1">
        <f t="shared" si="3"/>
        <v>12.263238632675106</v>
      </c>
      <c r="M29" s="1"/>
      <c r="N29" s="1">
        <f t="shared" si="4"/>
        <v>4.3104970254635993E-4</v>
      </c>
      <c r="O29" s="1"/>
    </row>
    <row r="30" spans="1:21" x14ac:dyDescent="0.2">
      <c r="A30">
        <v>209214</v>
      </c>
      <c r="C30">
        <v>30</v>
      </c>
      <c r="E30">
        <f t="shared" si="0"/>
        <v>12.251112930539872</v>
      </c>
      <c r="G30">
        <v>1</v>
      </c>
      <c r="H30">
        <f t="shared" si="1"/>
        <v>30</v>
      </c>
      <c r="J30" s="1">
        <f t="shared" si="2"/>
        <v>214630.17343368009</v>
      </c>
      <c r="K30" s="1"/>
      <c r="L30" s="1">
        <f t="shared" si="3"/>
        <v>12.276671702434276</v>
      </c>
      <c r="M30" s="1"/>
      <c r="N30" s="1">
        <f t="shared" si="4"/>
        <v>6.5325082075020583E-4</v>
      </c>
      <c r="O30" s="1"/>
    </row>
    <row r="31" spans="1:21" x14ac:dyDescent="0.2">
      <c r="A31">
        <v>224204</v>
      </c>
      <c r="C31">
        <v>31</v>
      </c>
      <c r="E31">
        <f t="shared" si="0"/>
        <v>12.320311630674247</v>
      </c>
      <c r="G31">
        <v>1</v>
      </c>
      <c r="H31">
        <f t="shared" si="1"/>
        <v>31</v>
      </c>
      <c r="J31" s="1">
        <f t="shared" si="2"/>
        <v>217532.76725147085</v>
      </c>
      <c r="K31" s="1"/>
      <c r="L31" s="1">
        <f t="shared" si="3"/>
        <v>12.290104772193448</v>
      </c>
      <c r="M31" s="1"/>
      <c r="N31" s="1">
        <f t="shared" si="4"/>
        <v>9.1245429927902272E-4</v>
      </c>
      <c r="O31" s="1"/>
    </row>
    <row r="32" spans="1:21" x14ac:dyDescent="0.2">
      <c r="A32">
        <v>221953</v>
      </c>
      <c r="C32">
        <v>32</v>
      </c>
      <c r="E32">
        <f t="shared" si="0"/>
        <v>12.310220926728617</v>
      </c>
      <c r="G32">
        <v>1</v>
      </c>
      <c r="H32">
        <f t="shared" si="1"/>
        <v>32</v>
      </c>
      <c r="J32" s="1">
        <f t="shared" si="2"/>
        <v>220474.61487377665</v>
      </c>
      <c r="K32" s="1"/>
      <c r="L32" s="1">
        <f t="shared" si="3"/>
        <v>12.303537841952618</v>
      </c>
      <c r="M32" s="1"/>
      <c r="N32" s="1">
        <f t="shared" si="4"/>
        <v>4.4663622123182095E-5</v>
      </c>
      <c r="O32" s="1"/>
    </row>
    <row r="33" spans="1:15" x14ac:dyDescent="0.2">
      <c r="A33">
        <v>232803</v>
      </c>
      <c r="C33">
        <v>33</v>
      </c>
      <c r="E33">
        <f t="shared" si="0"/>
        <v>12.357947881354326</v>
      </c>
      <c r="G33">
        <v>1</v>
      </c>
      <c r="H33">
        <f t="shared" si="1"/>
        <v>33</v>
      </c>
      <c r="J33" s="1">
        <f t="shared" si="2"/>
        <v>223456.24715722669</v>
      </c>
      <c r="K33" s="1"/>
      <c r="L33" s="1">
        <f t="shared" si="3"/>
        <v>12.316970911711788</v>
      </c>
      <c r="M33" s="1"/>
      <c r="N33" s="1">
        <f t="shared" si="4"/>
        <v>1.6791120410854397E-3</v>
      </c>
      <c r="O33" s="1"/>
    </row>
    <row r="34" spans="1:15" x14ac:dyDescent="0.2">
      <c r="A34">
        <v>228660</v>
      </c>
      <c r="C34">
        <v>34</v>
      </c>
      <c r="E34">
        <f t="shared" si="0"/>
        <v>12.339991463095961</v>
      </c>
      <c r="G34">
        <v>1</v>
      </c>
      <c r="H34">
        <f t="shared" si="1"/>
        <v>34</v>
      </c>
      <c r="J34" s="1">
        <f t="shared" si="2"/>
        <v>226478.2021375953</v>
      </c>
      <c r="K34" s="1"/>
      <c r="L34" s="1">
        <f t="shared" si="3"/>
        <v>12.33040398147096</v>
      </c>
      <c r="M34" s="1"/>
      <c r="N34" s="1">
        <f t="shared" si="4"/>
        <v>9.19198039097319E-5</v>
      </c>
      <c r="O34" s="1"/>
    </row>
    <row r="35" spans="1:15" x14ac:dyDescent="0.2">
      <c r="A35">
        <v>239816</v>
      </c>
      <c r="C35">
        <v>35</v>
      </c>
      <c r="E35">
        <f t="shared" si="0"/>
        <v>12.387627241618276</v>
      </c>
      <c r="G35">
        <v>1</v>
      </c>
      <c r="H35">
        <f t="shared" si="1"/>
        <v>35</v>
      </c>
      <c r="J35" s="1">
        <f t="shared" si="2"/>
        <v>229541.02512688946</v>
      </c>
      <c r="K35" s="1"/>
      <c r="L35" s="1">
        <f t="shared" si="3"/>
        <v>12.34383705123013</v>
      </c>
      <c r="M35" s="1"/>
      <c r="N35" s="1">
        <f t="shared" si="4"/>
        <v>1.9175807742300472E-3</v>
      </c>
      <c r="O35" s="1"/>
    </row>
    <row r="36" spans="1:15" x14ac:dyDescent="0.2">
      <c r="A36">
        <v>233082</v>
      </c>
      <c r="C36">
        <v>36</v>
      </c>
      <c r="E36">
        <f t="shared" si="0"/>
        <v>12.359145601965004</v>
      </c>
      <c r="G36">
        <v>1</v>
      </c>
      <c r="H36">
        <f t="shared" si="1"/>
        <v>36</v>
      </c>
      <c r="J36" s="1">
        <f t="shared" si="2"/>
        <v>232645.26881175299</v>
      </c>
      <c r="K36" s="1"/>
      <c r="L36" s="1">
        <f t="shared" si="3"/>
        <v>12.357270120989302</v>
      </c>
      <c r="M36" s="1"/>
      <c r="N36" s="1">
        <f t="shared" si="4"/>
        <v>3.5174288902201413E-6</v>
      </c>
      <c r="O36" s="1"/>
    </row>
    <row r="37" spans="1:15" x14ac:dyDescent="0.2">
      <c r="A37">
        <v>243243</v>
      </c>
      <c r="C37">
        <v>37</v>
      </c>
      <c r="E37">
        <f t="shared" si="0"/>
        <v>12.40181622265577</v>
      </c>
      <c r="G37">
        <v>1</v>
      </c>
      <c r="H37">
        <f t="shared" si="1"/>
        <v>37</v>
      </c>
      <c r="J37" s="1">
        <f t="shared" si="2"/>
        <v>235791.49335319581</v>
      </c>
      <c r="K37" s="1"/>
      <c r="L37" s="1">
        <f t="shared" si="3"/>
        <v>12.370703190748472</v>
      </c>
      <c r="M37" s="1"/>
      <c r="N37" s="1">
        <f t="shared" si="4"/>
        <v>9.6802075446452101E-4</v>
      </c>
      <c r="O37" s="1"/>
    </row>
    <row r="38" spans="1:15" x14ac:dyDescent="0.2">
      <c r="A38">
        <v>241862</v>
      </c>
      <c r="C38">
        <v>38</v>
      </c>
      <c r="E38">
        <f t="shared" si="0"/>
        <v>12.396122594551748</v>
      </c>
      <c r="G38">
        <v>1</v>
      </c>
      <c r="H38">
        <f t="shared" si="1"/>
        <v>38</v>
      </c>
      <c r="J38" s="1">
        <f t="shared" si="2"/>
        <v>238980.2664876779</v>
      </c>
      <c r="K38" s="1"/>
      <c r="L38" s="1">
        <f t="shared" si="3"/>
        <v>12.384136260507642</v>
      </c>
      <c r="M38" s="1"/>
      <c r="N38" s="1">
        <f t="shared" si="4"/>
        <v>1.4367220381690475E-4</v>
      </c>
      <c r="O38" s="1"/>
    </row>
    <row r="39" spans="1:15" x14ac:dyDescent="0.2">
      <c r="A39">
        <v>255757</v>
      </c>
      <c r="C39">
        <v>39</v>
      </c>
      <c r="E39">
        <f t="shared" si="0"/>
        <v>12.451983053918292</v>
      </c>
      <c r="G39">
        <v>1</v>
      </c>
      <c r="H39">
        <f t="shared" si="1"/>
        <v>39</v>
      </c>
      <c r="J39" s="1">
        <f t="shared" si="2"/>
        <v>242212.16362955605</v>
      </c>
      <c r="K39" s="1"/>
      <c r="L39" s="1">
        <f t="shared" si="3"/>
        <v>12.397569330266814</v>
      </c>
      <c r="M39" s="1"/>
      <c r="N39" s="1">
        <f t="shared" si="4"/>
        <v>2.9608533216194774E-3</v>
      </c>
      <c r="O39" s="1"/>
    </row>
    <row r="40" spans="1:15" x14ac:dyDescent="0.2">
      <c r="A40">
        <v>248625</v>
      </c>
      <c r="C40">
        <v>40</v>
      </c>
      <c r="E40">
        <f t="shared" si="0"/>
        <v>12.423701016156274</v>
      </c>
      <c r="G40">
        <v>1</v>
      </c>
      <c r="H40">
        <f t="shared" si="1"/>
        <v>40</v>
      </c>
      <c r="J40" s="1">
        <f t="shared" si="2"/>
        <v>245487.76797491626</v>
      </c>
      <c r="K40" s="1"/>
      <c r="L40" s="1">
        <f t="shared" si="3"/>
        <v>12.411002400025984</v>
      </c>
      <c r="M40" s="1"/>
      <c r="N40" s="1">
        <f t="shared" si="4"/>
        <v>1.6125485162446694E-4</v>
      </c>
      <c r="O40" s="1"/>
    </row>
    <row r="41" spans="1:15" x14ac:dyDescent="0.2">
      <c r="A41">
        <v>261094</v>
      </c>
      <c r="C41">
        <v>41</v>
      </c>
      <c r="E41">
        <f t="shared" si="0"/>
        <v>12.472635774721919</v>
      </c>
      <c r="G41">
        <v>1</v>
      </c>
      <c r="H41">
        <f t="shared" si="1"/>
        <v>41</v>
      </c>
      <c r="J41" s="1">
        <f t="shared" si="2"/>
        <v>248807.67060681406</v>
      </c>
      <c r="K41" s="1"/>
      <c r="L41" s="1">
        <f t="shared" si="3"/>
        <v>12.424435469785154</v>
      </c>
      <c r="M41" s="1"/>
      <c r="N41" s="1">
        <f t="shared" si="4"/>
        <v>2.3232693959971511E-3</v>
      </c>
      <c r="O41" s="1"/>
    </row>
    <row r="42" spans="1:15" x14ac:dyDescent="0.2">
      <c r="A42">
        <v>254235</v>
      </c>
      <c r="C42">
        <v>42</v>
      </c>
      <c r="E42">
        <f t="shared" si="0"/>
        <v>12.446014315120264</v>
      </c>
      <c r="G42">
        <v>1</v>
      </c>
      <c r="H42">
        <f t="shared" si="1"/>
        <v>42</v>
      </c>
      <c r="J42" s="1">
        <f t="shared" si="2"/>
        <v>252172.4706019341</v>
      </c>
      <c r="K42" s="1"/>
      <c r="L42" s="1">
        <f t="shared" si="3"/>
        <v>12.437868539544326</v>
      </c>
      <c r="M42" s="1"/>
      <c r="N42" s="1">
        <f t="shared" si="4"/>
        <v>6.6353659733555051E-5</v>
      </c>
      <c r="O42" s="1"/>
    </row>
    <row r="43" spans="1:15" x14ac:dyDescent="0.2">
      <c r="A43">
        <v>269320</v>
      </c>
      <c r="C43">
        <v>43</v>
      </c>
      <c r="E43">
        <f t="shared" si="0"/>
        <v>12.503655542659217</v>
      </c>
      <c r="G43">
        <v>1</v>
      </c>
      <c r="H43">
        <f t="shared" si="1"/>
        <v>43</v>
      </c>
      <c r="J43" s="1">
        <f t="shared" si="2"/>
        <v>255582.77513869241</v>
      </c>
      <c r="K43" s="1"/>
      <c r="L43" s="1">
        <f t="shared" si="3"/>
        <v>12.451301609303496</v>
      </c>
      <c r="M43" s="1"/>
      <c r="N43" s="1">
        <f t="shared" si="4"/>
        <v>2.7409343378153486E-3</v>
      </c>
      <c r="O43" s="1"/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CB3B4-A655-2E40-BCF8-FBD51690F3BA}">
  <dimension ref="A1:I18"/>
  <sheetViews>
    <sheetView workbookViewId="0">
      <selection activeCell="K22" sqref="K22"/>
    </sheetView>
  </sheetViews>
  <sheetFormatPr baseColWidth="10" defaultRowHeight="16" x14ac:dyDescent="0.2"/>
  <sheetData>
    <row r="1" spans="1:9" x14ac:dyDescent="0.2">
      <c r="A1" t="s">
        <v>73</v>
      </c>
    </row>
    <row r="2" spans="1:9" ht="17" thickBot="1" x14ac:dyDescent="0.25"/>
    <row r="3" spans="1:9" x14ac:dyDescent="0.2">
      <c r="A3" s="8" t="s">
        <v>74</v>
      </c>
      <c r="B3" s="8"/>
    </row>
    <row r="4" spans="1:9" x14ac:dyDescent="0.2">
      <c r="A4" s="5" t="s">
        <v>75</v>
      </c>
      <c r="B4" s="5">
        <v>0.96945646921075945</v>
      </c>
    </row>
    <row r="5" spans="1:9" x14ac:dyDescent="0.2">
      <c r="A5" s="5" t="s">
        <v>76</v>
      </c>
      <c r="B5" s="5">
        <v>0.93984584569459217</v>
      </c>
    </row>
    <row r="6" spans="1:9" x14ac:dyDescent="0.2">
      <c r="A6" s="5" t="s">
        <v>77</v>
      </c>
      <c r="B6" s="5">
        <v>0.9383419918369571</v>
      </c>
    </row>
    <row r="7" spans="1:9" x14ac:dyDescent="0.2">
      <c r="A7" s="5" t="s">
        <v>78</v>
      </c>
      <c r="B7" s="5">
        <v>4.2209475195462115E-2</v>
      </c>
    </row>
    <row r="8" spans="1:9" ht="17" thickBot="1" x14ac:dyDescent="0.25">
      <c r="A8" s="6" t="s">
        <v>79</v>
      </c>
      <c r="B8" s="6">
        <v>42</v>
      </c>
    </row>
    <row r="10" spans="1:9" ht="17" thickBot="1" x14ac:dyDescent="0.25">
      <c r="A10" t="s">
        <v>80</v>
      </c>
    </row>
    <row r="11" spans="1:9" x14ac:dyDescent="0.2">
      <c r="A11" s="7"/>
      <c r="B11" s="7" t="s">
        <v>85</v>
      </c>
      <c r="C11" s="7" t="s">
        <v>86</v>
      </c>
      <c r="D11" s="7" t="s">
        <v>87</v>
      </c>
      <c r="E11" s="7" t="s">
        <v>88</v>
      </c>
      <c r="F11" s="7" t="s">
        <v>89</v>
      </c>
    </row>
    <row r="12" spans="1:9" x14ac:dyDescent="0.2">
      <c r="A12" s="5" t="s">
        <v>81</v>
      </c>
      <c r="B12" s="5">
        <v>1</v>
      </c>
      <c r="C12" s="5">
        <v>1.1134504543463823</v>
      </c>
      <c r="D12" s="5">
        <v>1.1134504543463823</v>
      </c>
      <c r="E12" s="5">
        <v>624.95823043104417</v>
      </c>
      <c r="F12" s="5">
        <v>4.9695921345688562E-26</v>
      </c>
    </row>
    <row r="13" spans="1:9" x14ac:dyDescent="0.2">
      <c r="A13" s="5" t="s">
        <v>82</v>
      </c>
      <c r="B13" s="5">
        <v>40</v>
      </c>
      <c r="C13" s="5">
        <v>7.1265591851053273E-2</v>
      </c>
      <c r="D13" s="5">
        <v>1.7816397962763318E-3</v>
      </c>
      <c r="E13" s="5"/>
      <c r="F13" s="5"/>
    </row>
    <row r="14" spans="1:9" ht="17" thickBot="1" x14ac:dyDescent="0.25">
      <c r="A14" s="6" t="s">
        <v>83</v>
      </c>
      <c r="B14" s="6">
        <v>41</v>
      </c>
      <c r="C14" s="6">
        <v>1.1847160461974355</v>
      </c>
      <c r="D14" s="6"/>
      <c r="E14" s="6"/>
      <c r="F14" s="6"/>
    </row>
    <row r="15" spans="1:9" ht="17" thickBot="1" x14ac:dyDescent="0.25"/>
    <row r="16" spans="1:9" x14ac:dyDescent="0.2">
      <c r="A16" s="7"/>
      <c r="B16" s="7" t="s">
        <v>90</v>
      </c>
      <c r="C16" s="7" t="s">
        <v>78</v>
      </c>
      <c r="D16" s="7" t="s">
        <v>91</v>
      </c>
      <c r="E16" s="7" t="s">
        <v>92</v>
      </c>
      <c r="F16" s="7" t="s">
        <v>93</v>
      </c>
      <c r="G16" s="7" t="s">
        <v>94</v>
      </c>
      <c r="H16" s="7" t="s">
        <v>95</v>
      </c>
      <c r="I16" s="7" t="s">
        <v>96</v>
      </c>
    </row>
    <row r="17" spans="1:9" x14ac:dyDescent="0.2">
      <c r="A17" s="5" t="s">
        <v>84</v>
      </c>
      <c r="B17" s="5">
        <v>11.873679609659151</v>
      </c>
      <c r="C17" s="5">
        <v>1.3732884918325344E-2</v>
      </c>
      <c r="D17" s="5">
        <v>864.61655218669716</v>
      </c>
      <c r="E17" s="5">
        <v>4.6344728049612545E-87</v>
      </c>
      <c r="F17" s="5">
        <v>11.845924413912815</v>
      </c>
      <c r="G17" s="5">
        <v>11.901434805405486</v>
      </c>
      <c r="H17" s="5">
        <v>11.845924413912815</v>
      </c>
      <c r="I17" s="5">
        <v>11.901434805405486</v>
      </c>
    </row>
    <row r="18" spans="1:9" ht="17" thickBot="1" x14ac:dyDescent="0.25">
      <c r="A18" s="6" t="s">
        <v>97</v>
      </c>
      <c r="B18" s="6">
        <v>1.3433069759170822E-2</v>
      </c>
      <c r="C18" s="6">
        <v>5.3734074625992471E-4</v>
      </c>
      <c r="D18" s="6">
        <v>24.999164594662847</v>
      </c>
      <c r="E18" s="6">
        <v>4.9695921345688212E-26</v>
      </c>
      <c r="F18" s="6">
        <v>1.2347063600696082E-2</v>
      </c>
      <c r="G18" s="6">
        <v>1.4519075917645563E-2</v>
      </c>
      <c r="H18" s="6">
        <v>1.2347063600696082E-2</v>
      </c>
      <c r="I18" s="6">
        <v>1.4519075917645563E-2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807E0D5-B9F4-E445-A533-CD93DF8E5D2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01 Removing Trend and Season</vt:lpstr>
      <vt:lpstr>02 Constant Prices</vt:lpstr>
      <vt:lpstr>02 GVA Const 2020 in Const 2016</vt:lpstr>
      <vt:lpstr>02 GVA Const 2020 in Const 2024</vt:lpstr>
      <vt:lpstr>03 Linear Trend</vt:lpstr>
      <vt:lpstr>03 DA Linear</vt:lpstr>
      <vt:lpstr>03 Power Trend</vt:lpstr>
      <vt:lpstr>03 DA Power</vt:lpstr>
      <vt:lpstr>03 Exponential Trend</vt:lpstr>
      <vt:lpstr>03 DA Exponential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Faltynowski</dc:creator>
  <cp:lastModifiedBy>Daniel Faltynowski</cp:lastModifiedBy>
  <dcterms:created xsi:type="dcterms:W3CDTF">2025-12-22T16:56:06Z</dcterms:created>
  <dcterms:modified xsi:type="dcterms:W3CDTF">2025-12-22T21:15:59Z</dcterms:modified>
</cp:coreProperties>
</file>